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 APIs" sheetId="1" state="visible" r:id="rId3"/>
    <sheet name="Resumen" sheetId="2" state="visible" r:id="rId4"/>
    <sheet name="APIs externas" sheetId="3" state="visible" r:id="rId5"/>
    <sheet name="Convenciones" sheetId="4" state="visible" r:id="rId6"/>
  </sheets>
  <definedNames>
    <definedName function="false" hidden="true" localSheetId="0" name="_xlnm._FilterDatabase" vbProcedure="false">'Inventario APIs'!$A$4:$M$80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<sst xmlns="http://schemas.openxmlformats.org/spreadsheetml/2006/main" count="957" uniqueCount="475">
  <si>
    <t xml:space="preserve">Inventario completo de APIs de gestión de Web Services – One Click Caribe</t>
  </si>
  <si>
    <t xml:space="preserve">Organizado por módulo. Ninguna API está implementada: el estado indica el nivel de especificación alcanzado. Los campos no definidos se marcan como "Pendiente".</t>
  </si>
  <si>
    <t xml:space="preserve">ID operación</t>
  </si>
  <si>
    <t xml:space="preserve">API</t>
  </si>
  <si>
    <t xml:space="preserve">Módulo</t>
  </si>
  <si>
    <t xml:space="preserve">Submódulo</t>
  </si>
  <si>
    <t xml:space="preserve">Propósito o descripción funcional</t>
  </si>
  <si>
    <t xml:space="preserve">Método HTTP</t>
  </si>
  <si>
    <t xml:space="preserve">Endpoint propuesto</t>
  </si>
  <si>
    <t xml:space="preserve">Datos de entrada principales</t>
  </si>
  <si>
    <t xml:space="preserve">Datos de salida principales</t>
  </si>
  <si>
    <t xml:space="preserve">Historias de usuario relacionadas</t>
  </si>
  <si>
    <t xml:space="preserve">Tipo de consumo</t>
  </si>
  <si>
    <t xml:space="preserve">Estado</t>
  </si>
  <si>
    <t xml:space="preserve">Observaciones</t>
  </si>
  <si>
    <t xml:space="preserve">API-01 · clientes.api · MOD-01 Gestión de Clientes y Solicitudes</t>
  </si>
  <si>
    <t xml:space="preserve">API-01-OP01</t>
  </si>
  <si>
    <t xml:space="preserve">clientes.api</t>
  </si>
  <si>
    <t xml:space="preserve">MOD-01 Gestión de Clientes y Solicitudes</t>
  </si>
  <si>
    <t xml:space="preserve">SUB-01</t>
  </si>
  <si>
    <t xml:space="preserve">Registrar cliente titular</t>
  </si>
  <si>
    <t xml:space="preserve">POST</t>
  </si>
  <si>
    <t xml:space="preserve">/api/v1/clientes</t>
  </si>
  <si>
    <t xml:space="preserve">documento, nombre, telefono, correo, nacionalidad, tipoCliente</t>
  </si>
  <si>
    <t xml:space="preserve">clienteId y datos registrados, fechaRegistro</t>
  </si>
  <si>
    <t xml:space="preserve">HU-001</t>
  </si>
  <si>
    <t xml:space="preserve">Pública</t>
  </si>
  <si>
    <t xml:space="preserve">Especificada en historia de usuario (Corte 2)</t>
  </si>
  <si>
    <t xml:space="preserve">API-01-OP02</t>
  </si>
  <si>
    <t xml:space="preserve">Consultar cliente por documento (validación de duplicidad)</t>
  </si>
  <si>
    <t xml:space="preserve">GET</t>
  </si>
  <si>
    <t xml:space="preserve">/api/v1/clientes/{documento}</t>
  </si>
  <si>
    <t xml:space="preserve">documento</t>
  </si>
  <si>
    <t xml:space="preserve">Cliente encontrado o data = null</t>
  </si>
  <si>
    <t xml:space="preserve">Definida en Corte 1, pendiente de refinamiento</t>
  </si>
  <si>
    <t xml:space="preserve">FUN-02 es criterio de aceptación de HU-001.</t>
  </si>
  <si>
    <t xml:space="preserve">API-01-OP03</t>
  </si>
  <si>
    <t xml:space="preserve">Consultar historial de solicitudes del cliente</t>
  </si>
  <si>
    <t xml:space="preserve">/api/v1/clientes/{clienteId}/solicitudes</t>
  </si>
  <si>
    <t xml:space="preserve">clienteId</t>
  </si>
  <si>
    <t xml:space="preserve">Lista de solicitudes con su estado</t>
  </si>
  <si>
    <t xml:space="preserve">HU-002</t>
  </si>
  <si>
    <t xml:space="preserve">API-01-OP04</t>
  </si>
  <si>
    <t xml:space="preserve">Actualizar datos de contacto del cliente</t>
  </si>
  <si>
    <t xml:space="preserve">PUT</t>
  </si>
  <si>
    <t xml:space="preserve">/api/v1/clientes/{clienteId}</t>
  </si>
  <si>
    <t xml:space="preserve">clienteId, telefono, correo</t>
  </si>
  <si>
    <t xml:space="preserve">Cliente actualizado</t>
  </si>
  <si>
    <t xml:space="preserve">HU-003</t>
  </si>
  <si>
    <t xml:space="preserve">API-01-OP05</t>
  </si>
  <si>
    <t xml:space="preserve">Asociar pasajeros al cliente titular</t>
  </si>
  <si>
    <t xml:space="preserve">/api/v1/clientes/{clienteId}/pasajeros</t>
  </si>
  <si>
    <t xml:space="preserve">clienteId; pasajeros: nombre, documento, fechaNacimiento, nacionalidad, esTitular, numeroPasaporte, vencimientoPasaporte</t>
  </si>
  <si>
    <t xml:space="preserve">pasajeroId y edad de cada pasajero, totalPasajeros</t>
  </si>
  <si>
    <t xml:space="preserve">HU-004</t>
  </si>
  <si>
    <t xml:space="preserve">Agrega nacionalidad y pasaporte, que la entidad Pasajero del Corte 1 no tenía.</t>
  </si>
  <si>
    <t xml:space="preserve">API-01-OP06</t>
  </si>
  <si>
    <t xml:space="preserve">Consultar pasajeros del cliente (nacionalidad, edad y pasaporte)</t>
  </si>
  <si>
    <t xml:space="preserve">Pasajeros con nacionalidad, edad y pasaporte</t>
  </si>
  <si>
    <t xml:space="preserve">HU-016, HU-044</t>
  </si>
  <si>
    <t xml:space="preserve">Interna (consumida por MOD-03 y MOD-07)</t>
  </si>
  <si>
    <t xml:space="preserve">API-01-OP07</t>
  </si>
  <si>
    <t xml:space="preserve">Consultar datos fiscales del cliente titular</t>
  </si>
  <si>
    <t xml:space="preserve">/api/v1/clientes/{clienteId}/datos-fiscales</t>
  </si>
  <si>
    <t xml:space="preserve">Nombre, documento y correo del titular</t>
  </si>
  <si>
    <t xml:space="preserve">HU-032</t>
  </si>
  <si>
    <t xml:space="preserve">Interna (consumida por MOD-06)</t>
  </si>
  <si>
    <t xml:space="preserve">API-01-OP08</t>
  </si>
  <si>
    <t xml:space="preserve">SUB-02</t>
  </si>
  <si>
    <t xml:space="preserve">Registrar itinerario base de la solicitud</t>
  </si>
  <si>
    <t xml:space="preserve">/api/v1/solicitudes</t>
  </si>
  <si>
    <t xml:space="preserve">clienteId, origen, destinos[], fechaSalida, fechaRegreso</t>
  </si>
  <si>
    <t xml:space="preserve">solicitudId, estado pendiente_alcance</t>
  </si>
  <si>
    <t xml:space="preserve">HU-005</t>
  </si>
  <si>
    <t xml:space="preserve">Reemplaza POST /clientes/{id}/solicitudes del Corte 1, que agrupaba FUN-06 a FUN-10.</t>
  </si>
  <si>
    <t xml:space="preserve">API-01-OP09</t>
  </si>
  <si>
    <t xml:space="preserve">Registrar alcance de la solicitud (composición, servicios, acomodación)</t>
  </si>
  <si>
    <t xml:space="preserve">/api/v1/solicitudes/{solicitudId}/alcance</t>
  </si>
  <si>
    <t xml:space="preserve">solicitudId; composicion, servicios, tipoAcomodacion</t>
  </si>
  <si>
    <t xml:space="preserve">Alcance registrado, estado lista_para_cotizar</t>
  </si>
  <si>
    <t xml:space="preserve">HU-006</t>
  </si>
  <si>
    <t xml:space="preserve">Amplía el catálogo de servicios del Corte 1 con las líneas reales del negocio.</t>
  </si>
  <si>
    <t xml:space="preserve">API-01-OP10</t>
  </si>
  <si>
    <t xml:space="preserve">Consultar solicitud de viaje</t>
  </si>
  <si>
    <t xml:space="preserve">/api/v1/solicitudes/{solicitudId}</t>
  </si>
  <si>
    <t xml:space="preserve">solicitudId</t>
  </si>
  <si>
    <t xml:space="preserve">Itinerario, alcance y estado de la solicitud</t>
  </si>
  <si>
    <t xml:space="preserve">HU-013</t>
  </si>
  <si>
    <t xml:space="preserve">Interna (consumida por MOD-03)</t>
  </si>
  <si>
    <t xml:space="preserve">API-02 · proveedores.api · MOD-02 Gestión de Proveedores</t>
  </si>
  <si>
    <t xml:space="preserve">API-02-OP01</t>
  </si>
  <si>
    <t xml:space="preserve">proveedores.api</t>
  </si>
  <si>
    <t xml:space="preserve">MOD-02 Gestión de Proveedores</t>
  </si>
  <si>
    <t xml:space="preserve">SUB-03</t>
  </si>
  <si>
    <t xml:space="preserve">Registrar proveedor con comisión pactada</t>
  </si>
  <si>
    <t xml:space="preserve">/api/v1/proveedores</t>
  </si>
  <si>
    <t xml:space="preserve">nombre, nit, tipoProveedor, servicios, comisionPorcentaje, correoContacto</t>
  </si>
  <si>
    <t xml:space="preserve">proveedorId, estado activo</t>
  </si>
  <si>
    <t xml:space="preserve">HU-007</t>
  </si>
  <si>
    <t xml:space="preserve">API-02-OP02</t>
  </si>
  <si>
    <t xml:space="preserve">Consultar directorio de proveedores por tipo de servicio</t>
  </si>
  <si>
    <t xml:space="preserve">Pendiente</t>
  </si>
  <si>
    <t xml:space="preserve">HU-008</t>
  </si>
  <si>
    <t xml:space="preserve">Pendiente (Corte 3)</t>
  </si>
  <si>
    <t xml:space="preserve">API-02-OP03</t>
  </si>
  <si>
    <t xml:space="preserve">Actualizar condiciones comerciales de un proveedor</t>
  </si>
  <si>
    <t xml:space="preserve">HU-009</t>
  </si>
  <si>
    <t xml:space="preserve">API-02-OP04</t>
  </si>
  <si>
    <t xml:space="preserve">Desactivar proveedor del directorio</t>
  </si>
  <si>
    <t xml:space="preserve">HU-010</t>
  </si>
  <si>
    <t xml:space="preserve">API-02-OP05</t>
  </si>
  <si>
    <t xml:space="preserve">SUB-04</t>
  </si>
  <si>
    <t xml:space="preserve">Consultar disponibilidad y tarifa vigente</t>
  </si>
  <si>
    <t xml:space="preserve">/api/v1/proveedores/disponibilidad</t>
  </si>
  <si>
    <t xml:space="preserve">proveedorId, tipoServicio, destino, fechaInicio, fechaFin, adultos, menores</t>
  </si>
  <si>
    <t xml:space="preserve">consultaId, disponible, tarifaNetaAdulto, tarifaNetaMenor, fechaHoraConsulta</t>
  </si>
  <si>
    <t xml:space="preserve">HU-011</t>
  </si>
  <si>
    <t xml:space="preserve">Pública e interna (consumida por MOD-03)</t>
  </si>
  <si>
    <t xml:space="preserve">API-02-OP06</t>
  </si>
  <si>
    <t xml:space="preserve">Comparar tarifas entre proveedores</t>
  </si>
  <si>
    <t xml:space="preserve">HU-012</t>
  </si>
  <si>
    <t xml:space="preserve">API-02-OP07</t>
  </si>
  <si>
    <t xml:space="preserve">Solicitar reserva formal en la plataforma del proveedor</t>
  </si>
  <si>
    <t xml:space="preserve">/api/v1/proveedores/reservas</t>
  </si>
  <si>
    <t xml:space="preserve">Datos del servicio y de los pasajeros</t>
  </si>
  <si>
    <t xml:space="preserve">Respuesta del proveedor a la solicitud</t>
  </si>
  <si>
    <t xml:space="preserve">HU-037</t>
  </si>
  <si>
    <t xml:space="preserve">Interna (consumida por MOD-07)</t>
  </si>
  <si>
    <t xml:space="preserve">API-02-OP08</t>
  </si>
  <si>
    <t xml:space="preserve">Ejecutar pago neto en la plataforma del proveedor</t>
  </si>
  <si>
    <t xml:space="preserve">/api/v1/proveedores/{proveedorId}/pagos</t>
  </si>
  <si>
    <t xml:space="preserve">Monto neto, referencia, orden</t>
  </si>
  <si>
    <t xml:space="preserve">Resultado del pago en la plataforma</t>
  </si>
  <si>
    <t xml:space="preserve">HU-029</t>
  </si>
  <si>
    <t xml:space="preserve">Interna (consumida por MOD-05)</t>
  </si>
  <si>
    <t xml:space="preserve">API-03 · cotizaciones.api · MOD-03 Gestión de Cotizaciones</t>
  </si>
  <si>
    <t xml:space="preserve">API-03-OP01</t>
  </si>
  <si>
    <t xml:space="preserve">cotizaciones.api</t>
  </si>
  <si>
    <t xml:space="preserve">MOD-03 Gestión de Cotizaciones</t>
  </si>
  <si>
    <t xml:space="preserve">SUB-05</t>
  </si>
  <si>
    <t xml:space="preserve">Crear cotización multiproveedor por segmento</t>
  </si>
  <si>
    <t xml:space="preserve">/api/v1/cotizaciones</t>
  </si>
  <si>
    <t xml:space="preserve">solicitudId; segmentos: orden, tipoServicio, destino, proveedorId, consultaId</t>
  </si>
  <si>
    <t xml:space="preserve">cotizacionId, segmentos, estado en_construccion</t>
  </si>
  <si>
    <t xml:space="preserve">En el Corte 1, POST /cotizaciones agrupaba FUN-21 a FUN-25; ahora se separa por historia.</t>
  </si>
  <si>
    <t xml:space="preserve">API-03-OP02</t>
  </si>
  <si>
    <t xml:space="preserve">Calcular precio de venta con margen</t>
  </si>
  <si>
    <t xml:space="preserve">/api/v1/cotizaciones/{cotizacionId}/precios</t>
  </si>
  <si>
    <t xml:space="preserve">cotizacionId</t>
  </si>
  <si>
    <t xml:space="preserve">Precio por segmento y por pasajero, comisionTotal, precioVentaTotal</t>
  </si>
  <si>
    <t xml:space="preserve">HU-014</t>
  </si>
  <si>
    <t xml:space="preserve">API-03-OP03</t>
  </si>
  <si>
    <t xml:space="preserve">Aplicar promoción vigente a la cotización</t>
  </si>
  <si>
    <t xml:space="preserve">HU-015</t>
  </si>
  <si>
    <t xml:space="preserve">API-03-OP04</t>
  </si>
  <si>
    <t xml:space="preserve">Consolidar cotización final por pasajero</t>
  </si>
  <si>
    <t xml:space="preserve">/api/v1/cotizaciones/{cotizacionId}/consolidacion</t>
  </si>
  <si>
    <t xml:space="preserve">cotizacionId; pasajeroIds</t>
  </si>
  <si>
    <t xml:space="preserve">Valor por pasajero, totalCotizacion, estado consolidada</t>
  </si>
  <si>
    <t xml:space="preserve">HU-016</t>
  </si>
  <si>
    <t xml:space="preserve">API-03-OP05</t>
  </si>
  <si>
    <t xml:space="preserve">SUB-06</t>
  </si>
  <si>
    <t xml:space="preserve">Enviar cotización al cliente</t>
  </si>
  <si>
    <t xml:space="preserve">/api/v1/cotizaciones/{cotizacionId}/envio</t>
  </si>
  <si>
    <t xml:space="preserve">cotizacionId; canal</t>
  </si>
  <si>
    <t xml:space="preserve">fechaHoraEmision, vigenteHasta, estado enviada</t>
  </si>
  <si>
    <t xml:space="preserve">HU-017</t>
  </si>
  <si>
    <t xml:space="preserve">API-03-OP06</t>
  </si>
  <si>
    <t xml:space="preserve">Registrar respuesta del cliente</t>
  </si>
  <si>
    <t xml:space="preserve">/api/v1/cotizaciones/{cotizacionId}/respuesta</t>
  </si>
  <si>
    <t xml:space="preserve">cotizacionId; respuesta, motivo</t>
  </si>
  <si>
    <t xml:space="preserve">Estado de la cotización, pagoRequeridoAntesDe</t>
  </si>
  <si>
    <t xml:space="preserve">HU-018</t>
  </si>
  <si>
    <t xml:space="preserve">Coincide con la ruta del Corte 1.</t>
  </si>
  <si>
    <t xml:space="preserve">API-03-OP07</t>
  </si>
  <si>
    <t xml:space="preserve">Expirar cotizaciones al cierre del día (proceso automático)</t>
  </si>
  <si>
    <t xml:space="preserve">/api/v1/cotizaciones/expiracion</t>
  </si>
  <si>
    <t xml:space="preserve">fechaCorte</t>
  </si>
  <si>
    <t xml:space="preserve">Cotizaciones evaluadas, vencidas y con pago</t>
  </si>
  <si>
    <t xml:space="preserve">HU-019</t>
  </si>
  <si>
    <t xml:space="preserve">Pública (invocada por el programador de tareas)</t>
  </si>
  <si>
    <t xml:space="preserve">Reemplaza PUT /cotizaciones/{id}/estado del Corte 1.</t>
  </si>
  <si>
    <t xml:space="preserve">API-03-OP08</t>
  </si>
  <si>
    <t xml:space="preserve">Consultar historial de cotizaciones por cliente</t>
  </si>
  <si>
    <t xml:space="preserve">/api/v1/clientes/{clienteId}/cotizaciones</t>
  </si>
  <si>
    <t xml:space="preserve">Cotizaciones del cliente con su estado</t>
  </si>
  <si>
    <t xml:space="preserve">HU-020</t>
  </si>
  <si>
    <t xml:space="preserve">API-03-OP09</t>
  </si>
  <si>
    <t xml:space="preserve">Consultar detalle de una cotización</t>
  </si>
  <si>
    <t xml:space="preserve">/api/v1/cotizaciones/{cotizacionId}</t>
  </si>
  <si>
    <t xml:space="preserve">Segmentos, precios, vigencia y estado</t>
  </si>
  <si>
    <t xml:space="preserve">HU-021</t>
  </si>
  <si>
    <t xml:space="preserve">Interna (consumida por MOD-04)</t>
  </si>
  <si>
    <t xml:space="preserve">API-04 · ventas.api · MOD-04 Gestión de Ventas</t>
  </si>
  <si>
    <t xml:space="preserve">API-04-OP01</t>
  </si>
  <si>
    <t xml:space="preserve">ventas.api</t>
  </si>
  <si>
    <t xml:space="preserve">MOD-04 Gestión de Ventas</t>
  </si>
  <si>
    <t xml:space="preserve">SUB-07</t>
  </si>
  <si>
    <t xml:space="preserve">Generar orden de venta desde cotización aceptada</t>
  </si>
  <si>
    <t xml:space="preserve">/api/v1/ventas</t>
  </si>
  <si>
    <t xml:space="preserve">cotizacionId; condicionesPago (modalidad, fechaLimiteSaldo)</t>
  </si>
  <si>
    <t xml:space="preserve">ventaId, segmentos, valorTotal, estado pendiente_pago</t>
  </si>
  <si>
    <t xml:space="preserve">API-04-OP02</t>
  </si>
  <si>
    <t xml:space="preserve">Consultar historial de ventas por cliente</t>
  </si>
  <si>
    <t xml:space="preserve">/api/v1/clientes/{clienteId}/ventas</t>
  </si>
  <si>
    <t xml:space="preserve">Órdenes de venta del cliente</t>
  </si>
  <si>
    <t xml:space="preserve">HU-022</t>
  </si>
  <si>
    <t xml:space="preserve">API-04-OP03</t>
  </si>
  <si>
    <t xml:space="preserve">Consultar orden de venta</t>
  </si>
  <si>
    <t xml:space="preserve">/api/v1/ventas/{ventaId}</t>
  </si>
  <si>
    <t xml:space="preserve">ventaId</t>
  </si>
  <si>
    <t xml:space="preserve">Detalle de la orden</t>
  </si>
  <si>
    <t xml:space="preserve">HU-028, HU-044</t>
  </si>
  <si>
    <t xml:space="preserve">Pública e interna</t>
  </si>
  <si>
    <t xml:space="preserve">API-04-OP04</t>
  </si>
  <si>
    <t xml:space="preserve">SUB-08</t>
  </si>
  <si>
    <t xml:space="preserve">Registrar cancelación con penalidad o reembolso</t>
  </si>
  <si>
    <t xml:space="preserve">/api/v1/ventas/{ventaId}/cancelacion</t>
  </si>
  <si>
    <t xml:space="preserve">ventaId; motivo, alcance</t>
  </si>
  <si>
    <t xml:space="preserve">Penalidad o reembolso por servicio</t>
  </si>
  <si>
    <t xml:space="preserve">HU-023</t>
  </si>
  <si>
    <t xml:space="preserve">API-04-OP05</t>
  </si>
  <si>
    <t xml:space="preserve">Registrar modificación de orden</t>
  </si>
  <si>
    <t xml:space="preserve">/api/v1/ventas/{ventaId}/modificacion</t>
  </si>
  <si>
    <t xml:space="preserve">ventaId; tipoModificacion, nuevosParametros</t>
  </si>
  <si>
    <t xml:space="preserve">Orden modificada</t>
  </si>
  <si>
    <t xml:space="preserve">HU-024</t>
  </si>
  <si>
    <t xml:space="preserve">API-04-OP06</t>
  </si>
  <si>
    <t xml:space="preserve">Actualizar estado financiero de la orden</t>
  </si>
  <si>
    <t xml:space="preserve">/api/v1/ventas/{ventaId}/estado-financiero</t>
  </si>
  <si>
    <t xml:space="preserve">ventaId; ajustes</t>
  </si>
  <si>
    <t xml:space="preserve">Saldo actualizado</t>
  </si>
  <si>
    <t xml:space="preserve">HU-023, HU-024</t>
  </si>
  <si>
    <t xml:space="preserve">FUN-39 es criterio de aceptación de HU-023 y HU-024.</t>
  </si>
  <si>
    <t xml:space="preserve">API-04-OP07</t>
  </si>
  <si>
    <t xml:space="preserve">Consultar detalle de orden para posventa</t>
  </si>
  <si>
    <t xml:space="preserve">/api/v1/ventas/{ventaId}/detalle</t>
  </si>
  <si>
    <t xml:space="preserve">Servicios, proveedores y estado de la orden</t>
  </si>
  <si>
    <t xml:space="preserve">HU-050</t>
  </si>
  <si>
    <t xml:space="preserve">Interna (consumida por MOD-08)</t>
  </si>
  <si>
    <t xml:space="preserve">API-04-OP08</t>
  </si>
  <si>
    <t xml:space="preserve">Informar evento del proveedor sobre la orden</t>
  </si>
  <si>
    <t xml:space="preserve">/api/v1/ventas/eventos-proveedor</t>
  </si>
  <si>
    <t xml:space="preserve">Tipo de evento, orden afectada, decisión del cliente</t>
  </si>
  <si>
    <t xml:space="preserve">Evento registrado</t>
  </si>
  <si>
    <t xml:space="preserve">HU-041, HU-043</t>
  </si>
  <si>
    <t xml:space="preserve">API-05 · pagos.api · MOD-05 Gestión de Pagos y Tesorería</t>
  </si>
  <si>
    <t xml:space="preserve">API-05-OP01</t>
  </si>
  <si>
    <t xml:space="preserve">pagos.api</t>
  </si>
  <si>
    <t xml:space="preserve">MOD-05 Gestión de Pagos y Tesorería</t>
  </si>
  <si>
    <t xml:space="preserve">SUB-09</t>
  </si>
  <si>
    <t xml:space="preserve">Registrar pago del cliente (total o abono)</t>
  </si>
  <si>
    <t xml:space="preserve">/api/v1/pagos/cliente</t>
  </si>
  <si>
    <t xml:space="preserve">ventaId, tipoPago, medioPago, monto, numeroComprobante, fechaPago</t>
  </si>
  <si>
    <t xml:space="preserve">pagoId, estado pendiente_verificacion</t>
  </si>
  <si>
    <t xml:space="preserve">HU-025</t>
  </si>
  <si>
    <t xml:space="preserve">En el Corte 1 la ruta era POST /pagos/clientes.</t>
  </si>
  <si>
    <t xml:space="preserve">API-05-OP02</t>
  </si>
  <si>
    <t xml:space="preserve">Verificar ingreso real del pago</t>
  </si>
  <si>
    <t xml:space="preserve">/api/v1/pagos/cliente/{pagoId}/verificacion</t>
  </si>
  <si>
    <t xml:space="preserve">pagoId; resultado, observacion, fechaIngreso</t>
  </si>
  <si>
    <t xml:space="preserve">totalVerificado, saldoPendiente, estadoPagoOrden</t>
  </si>
  <si>
    <t xml:space="preserve">HU-026</t>
  </si>
  <si>
    <t xml:space="preserve">En el Corte 1 la ruta era PUT /pagos/{id}/verificacion.</t>
  </si>
  <si>
    <t xml:space="preserve">API-05-OP03</t>
  </si>
  <si>
    <t xml:space="preserve">Consultar estado de pago y saldo de una orden</t>
  </si>
  <si>
    <t xml:space="preserve">/api/v1/pagos/orden/{ventaId}/estado</t>
  </si>
  <si>
    <t xml:space="preserve">Estado de pago y saldo pendiente</t>
  </si>
  <si>
    <t xml:space="preserve">HU-026, HU-032</t>
  </si>
  <si>
    <t xml:space="preserve">Interna (consumida por MOD-04 y MOD-06)</t>
  </si>
  <si>
    <t xml:space="preserve">FUN-44 es criterio de aceptación de HU-026.</t>
  </si>
  <si>
    <t xml:space="preserve">API-05-OP04</t>
  </si>
  <si>
    <t xml:space="preserve">Monitorear fecha límite de saldo (proceso automático)</t>
  </si>
  <si>
    <t xml:space="preserve">HU-027</t>
  </si>
  <si>
    <t xml:space="preserve">API-05-OP05</t>
  </si>
  <si>
    <t xml:space="preserve">SUB-10</t>
  </si>
  <si>
    <t xml:space="preserve">Consultar monto adeudado a proveedores</t>
  </si>
  <si>
    <t xml:space="preserve">/api/v1/pagos/proveedores/adeudado</t>
  </si>
  <si>
    <t xml:space="preserve">Monto neto por proveedor, comisionTotal, totalAdeudado</t>
  </si>
  <si>
    <t xml:space="preserve">HU-028</t>
  </si>
  <si>
    <t xml:space="preserve">En el Corte 1 la ruta era GET /pagos/proveedores/{proveedorId}/deuda.</t>
  </si>
  <si>
    <t xml:space="preserve">API-05-OP06</t>
  </si>
  <si>
    <t xml:space="preserve">Registrar pago a proveedor</t>
  </si>
  <si>
    <t xml:space="preserve">/api/v1/pagos/proveedores</t>
  </si>
  <si>
    <t xml:space="preserve">ventaId, proveedorId, segmentos, montoPagado, referenciaPago, fechaPago</t>
  </si>
  <si>
    <t xml:space="preserve">pagoProveedorId, comisionRetenida, reservaHabilitada</t>
  </si>
  <si>
    <t xml:space="preserve">API-05-OP07</t>
  </si>
  <si>
    <t xml:space="preserve">Registrar fecha límite de pago diferido</t>
  </si>
  <si>
    <t xml:space="preserve">HU-030</t>
  </si>
  <si>
    <t xml:space="preserve">API-05-OP08</t>
  </si>
  <si>
    <t xml:space="preserve">Confirmar recepción de voucher del proveedor</t>
  </si>
  <si>
    <t xml:space="preserve">HU-031</t>
  </si>
  <si>
    <t xml:space="preserve">API-05-OP09</t>
  </si>
  <si>
    <t xml:space="preserve">Consultar costos reales pagados a proveedores por orden</t>
  </si>
  <si>
    <t xml:space="preserve">/api/v1/pagos/proveedores/orden/{ventaId}</t>
  </si>
  <si>
    <t xml:space="preserve">Montos netos pagados por proveedor</t>
  </si>
  <si>
    <t xml:space="preserve">HU-035</t>
  </si>
  <si>
    <t xml:space="preserve">API-06 · facturacion.api · MOD-06 Gestión de Facturación y Contabilidad</t>
  </si>
  <si>
    <t xml:space="preserve">API-06-OP01</t>
  </si>
  <si>
    <t xml:space="preserve">facturacion.api</t>
  </si>
  <si>
    <t xml:space="preserve">MOD-06 Gestión de Facturación y Contabilidad</t>
  </si>
  <si>
    <t xml:space="preserve">SUB-11</t>
  </si>
  <si>
    <t xml:space="preserve">Generar factura electrónica DIAN</t>
  </si>
  <si>
    <t xml:space="preserve">/api/v1/facturacion/generar</t>
  </si>
  <si>
    <t xml:space="preserve">facturaId, numeroFactura, cufe, estadoDian, enviadaA</t>
  </si>
  <si>
    <t xml:space="preserve">Pública e interna (consumida por MOD-04)</t>
  </si>
  <si>
    <t xml:space="preserve">API-06-OP02</t>
  </si>
  <si>
    <t xml:space="preserve">Generar factura manual a solicitud del cliente</t>
  </si>
  <si>
    <t xml:space="preserve">HU-033</t>
  </si>
  <si>
    <t xml:space="preserve">API-06-OP03</t>
  </si>
  <si>
    <t xml:space="preserve">Consultar historial de facturación</t>
  </si>
  <si>
    <t xml:space="preserve">HU-034</t>
  </si>
  <si>
    <t xml:space="preserve">API-06-OP04</t>
  </si>
  <si>
    <t xml:space="preserve">SUB-12</t>
  </si>
  <si>
    <t xml:space="preserve">Calcular y reportar margen real por venta</t>
  </si>
  <si>
    <t xml:space="preserve">API-06-OP05</t>
  </si>
  <si>
    <t xml:space="preserve">Generar reporte de rentabilidad por periodo</t>
  </si>
  <si>
    <t xml:space="preserve">HU-036</t>
  </si>
  <si>
    <t xml:space="preserve">API-07 · reservas.api · MOD-07 Gestión de Reservas y Confirmaciones</t>
  </si>
  <si>
    <t xml:space="preserve">API-07-OP01</t>
  </si>
  <si>
    <t xml:space="preserve">reservas.api</t>
  </si>
  <si>
    <t xml:space="preserve">MOD-07 Gestión de Reservas y Confirmaciones</t>
  </si>
  <si>
    <t xml:space="preserve">SUB-13</t>
  </si>
  <si>
    <t xml:space="preserve">Solicitar reserva al proveedor</t>
  </si>
  <si>
    <t xml:space="preserve">/api/v1/reservas</t>
  </si>
  <si>
    <t xml:space="preserve">ventaId; segmentos</t>
  </si>
  <si>
    <t xml:space="preserve">reservaId por segmento, estado solicitada</t>
  </si>
  <si>
    <t xml:space="preserve">API-07-OP02</t>
  </si>
  <si>
    <t xml:space="preserve">Registrar y verificar localizador</t>
  </si>
  <si>
    <t xml:space="preserve">/api/v1/reservas/{reservaId}/confirmacion</t>
  </si>
  <si>
    <t xml:space="preserve">reservaId; localizador, pasajerosConfirmados, fechaInicio, fechaFin</t>
  </si>
  <si>
    <t xml:space="preserve">verificacion, discrepancias, estado</t>
  </si>
  <si>
    <t xml:space="preserve">HU-038</t>
  </si>
  <si>
    <t xml:space="preserve">API-07-OP03</t>
  </si>
  <si>
    <t xml:space="preserve">Confirmar reserva completa de la orden (proceso automático)</t>
  </si>
  <si>
    <t xml:space="preserve">HU-039</t>
  </si>
  <si>
    <t xml:space="preserve">API-07-OP04</t>
  </si>
  <si>
    <t xml:space="preserve">Consultar estado de emisión de una orden</t>
  </si>
  <si>
    <t xml:space="preserve">HU-040</t>
  </si>
  <si>
    <t xml:space="preserve">API-07-OP05</t>
  </si>
  <si>
    <t xml:space="preserve">Habilitar reserva tras el pago al proveedor</t>
  </si>
  <si>
    <t xml:space="preserve">/api/v1/reservas/habilitar-pago</t>
  </si>
  <si>
    <t xml:space="preserve">ventaId, segmentos pagados</t>
  </si>
  <si>
    <t xml:space="preserve">Segmentos habilitados para reserva</t>
  </si>
  <si>
    <t xml:space="preserve">HU-029, HU-037</t>
  </si>
  <si>
    <t xml:space="preserve">API-07-OP06</t>
  </si>
  <si>
    <t xml:space="preserve">SUB-14</t>
  </si>
  <si>
    <t xml:space="preserve">Registrar cambio o cancelación del proveedor</t>
  </si>
  <si>
    <t xml:space="preserve">HU-041</t>
  </si>
  <si>
    <t xml:space="preserve">API-07-OP07</t>
  </si>
  <si>
    <t xml:space="preserve">Ofrecer alternativa al cliente</t>
  </si>
  <si>
    <t xml:space="preserve">HU-042</t>
  </si>
  <si>
    <t xml:space="preserve">API-07-OP08</t>
  </si>
  <si>
    <t xml:space="preserve">Registrar decisión del cliente frente a la alternativa</t>
  </si>
  <si>
    <t xml:space="preserve">HU-043</t>
  </si>
  <si>
    <t xml:space="preserve">API-07-OP09</t>
  </si>
  <si>
    <t xml:space="preserve">Liberar servicios no confirmados de una orden cancelada</t>
  </si>
  <si>
    <t xml:space="preserve">/api/v1/reservas/liberar</t>
  </si>
  <si>
    <t xml:space="preserve">ventaId, segmentos a liberar</t>
  </si>
  <si>
    <t xml:space="preserve">Segmentos liberados</t>
  </si>
  <si>
    <t xml:space="preserve">API-07-OP10</t>
  </si>
  <si>
    <t xml:space="preserve">SUB-15</t>
  </si>
  <si>
    <t xml:space="preserve">Validar requisitos documentales de los pasajeros</t>
  </si>
  <si>
    <t xml:space="preserve">/api/v1/reservas/validaciones-documentales</t>
  </si>
  <si>
    <t xml:space="preserve">Dictamen por pasajero, emisionBloqueada</t>
  </si>
  <si>
    <t xml:space="preserve">HU-044</t>
  </si>
  <si>
    <t xml:space="preserve">API-07-OP11</t>
  </si>
  <si>
    <t xml:space="preserve">Registrar compromiso de renovación documental</t>
  </si>
  <si>
    <t xml:space="preserve">HU-045</t>
  </si>
  <si>
    <t xml:space="preserve">API-08 · posventa.api · MOD-08 Seguimiento y Posventa</t>
  </si>
  <si>
    <t xml:space="preserve">API-08-OP01</t>
  </si>
  <si>
    <t xml:space="preserve">posventa.api</t>
  </si>
  <si>
    <t xml:space="preserve">MOD-08 Seguimiento y Posventa</t>
  </si>
  <si>
    <t xml:space="preserve">SUB-16</t>
  </si>
  <si>
    <t xml:space="preserve">Registrar solicitud de cambio de fecha</t>
  </si>
  <si>
    <t xml:space="preserve">HU-046</t>
  </si>
  <si>
    <t xml:space="preserve">API-08-OP02</t>
  </si>
  <si>
    <t xml:space="preserve">Registrar solicitud de servicios adicionales</t>
  </si>
  <si>
    <t xml:space="preserve">HU-047</t>
  </si>
  <si>
    <t xml:space="preserve">API-08-OP03</t>
  </si>
  <si>
    <t xml:space="preserve">Verificar viabilidad del cambio con el proveedor</t>
  </si>
  <si>
    <t xml:space="preserve">HU-048</t>
  </si>
  <si>
    <t xml:space="preserve">API-08-OP04</t>
  </si>
  <si>
    <t xml:space="preserve">Actualizar orden con el cambio confirmado</t>
  </si>
  <si>
    <t xml:space="preserve">HU-049</t>
  </si>
  <si>
    <t xml:space="preserve">API-08-OP05</t>
  </si>
  <si>
    <t xml:space="preserve">SUB-17</t>
  </si>
  <si>
    <t xml:space="preserve">Registrar consulta posventa</t>
  </si>
  <si>
    <t xml:space="preserve">/api/v1/posventa/consultas</t>
  </si>
  <si>
    <t xml:space="preserve">ventaId, canal, categoria, descripcion</t>
  </si>
  <si>
    <t xml:space="preserve">consultaId, resumenOrden, estado abierta</t>
  </si>
  <si>
    <t xml:space="preserve">API-08-OP06</t>
  </si>
  <si>
    <t xml:space="preserve">Registrar orientación sobre requisitos de viaje</t>
  </si>
  <si>
    <t xml:space="preserve">HU-051</t>
  </si>
  <si>
    <t xml:space="preserve">API-08-OP07</t>
  </si>
  <si>
    <t xml:space="preserve">Cerrar consulta posventa</t>
  </si>
  <si>
    <t xml:space="preserve">HU-052</t>
  </si>
  <si>
    <t xml:space="preserve">API-08-OP08</t>
  </si>
  <si>
    <t xml:space="preserve">Recibir notificación de evento para continuidad del cliente</t>
  </si>
  <si>
    <t xml:space="preserve">/api/v1/posventa/notificaciones</t>
  </si>
  <si>
    <t xml:space="preserve">ventaId, tipoEvento, nuevo itinerario</t>
  </si>
  <si>
    <t xml:space="preserve">Notificación registrada</t>
  </si>
  <si>
    <t xml:space="preserve">HU-023, HU-043</t>
  </si>
  <si>
    <t xml:space="preserve">Resumen del inventario por API</t>
  </si>
  <si>
    <t xml:space="preserve">Conteos calculados con fórmulas sobre la hoja "Inventario APIs".</t>
  </si>
  <si>
    <t xml:space="preserve">Operaciones totales</t>
  </si>
  <si>
    <t xml:space="preserve">Total</t>
  </si>
  <si>
    <t xml:space="preserve">Historias de usuario cubiertas por el inventario: 52 de 52 (HU-001 a HU-052).</t>
  </si>
  <si>
    <t xml:space="preserve">APIs externas identificadas</t>
  </si>
  <si>
    <t xml:space="preserve">Identificadas en el parcial del primer corte. Ninguna está integrada; el negocio hoy no consume ninguna.</t>
  </si>
  <si>
    <t xml:space="preserve">ID</t>
  </si>
  <si>
    <t xml:space="preserve">API externa</t>
  </si>
  <si>
    <t xml:space="preserve">Módulo responsable</t>
  </si>
  <si>
    <t xml:space="preserve">Consumidor</t>
  </si>
  <si>
    <t xml:space="preserve">Propósito</t>
  </si>
  <si>
    <t xml:space="preserve">EXT-01</t>
  </si>
  <si>
    <t xml:space="preserve">API Facturación Electrónica DIAN</t>
  </si>
  <si>
    <t xml:space="preserve">MOD-06</t>
  </si>
  <si>
    <t xml:space="preserve">Facturación Electrónica y Manual</t>
  </si>
  <si>
    <t xml:space="preserve">Transmitir la factura electrónica y obtener el CUFE (RN-51).</t>
  </si>
  <si>
    <t xml:space="preserve">Identificada, no integrada</t>
  </si>
  <si>
    <t xml:space="preserve">EXT-02</t>
  </si>
  <si>
    <t xml:space="preserve">API de Verificación Migratoria</t>
  </si>
  <si>
    <t xml:space="preserve">MOD-07</t>
  </si>
  <si>
    <t xml:space="preserve">Validación de Requisitos Documentales</t>
  </si>
  <si>
    <t xml:space="preserve">Verificar automáticamente vigencia de pasaporte y visa (RN-71 a RN-75).</t>
  </si>
  <si>
    <t xml:space="preserve">HU-044 usa un catálogo interno de requisitos mientras no exista la integración.</t>
  </si>
  <si>
    <t xml:space="preserve">EXT-03</t>
  </si>
  <si>
    <t xml:space="preserve">API de Tasa de Cambio</t>
  </si>
  <si>
    <t xml:space="preserve">MOD-03</t>
  </si>
  <si>
    <t xml:space="preserve">Construcción de Cotización Multiproveedor</t>
  </si>
  <si>
    <t xml:space="preserve">Convertir tarifas en dólares antes de aplicar el margen (RN-22).</t>
  </si>
  <si>
    <t xml:space="preserve">Las historias del Corte 2 trabajan en COP.</t>
  </si>
  <si>
    <t xml:space="preserve">EXT-04</t>
  </si>
  <si>
    <t xml:space="preserve">API de Mensajería WhatsApp Business</t>
  </si>
  <si>
    <t xml:space="preserve">MOD-03 y MOD-08</t>
  </si>
  <si>
    <t xml:space="preserve">Envío de cotizaciones y atención posventa</t>
  </si>
  <si>
    <t xml:space="preserve">Automatizar y dejar trazabilidad del canal principal de la agencia.</t>
  </si>
  <si>
    <t xml:space="preserve">HU-017, HU-050</t>
  </si>
  <si>
    <t xml:space="preserve">EXT-05</t>
  </si>
  <si>
    <t xml:space="preserve">API de Clima en Destino</t>
  </si>
  <si>
    <t xml:space="preserve">MOD-08</t>
  </si>
  <si>
    <t xml:space="preserve">Seguimiento previo al viaje</t>
  </si>
  <si>
    <t xml:space="preserve">Anticipar la viabilidad de actividades compradas en destino.</t>
  </si>
  <si>
    <t xml:space="preserve">EXT-06</t>
  </si>
  <si>
    <t xml:space="preserve">API de Pasarela de Pagos</t>
  </si>
  <si>
    <t xml:space="preserve">MOD-05</t>
  </si>
  <si>
    <t xml:space="preserve">Recaudo y Verificación de Pago del Cliente</t>
  </si>
  <si>
    <t xml:space="preserve">Verificación automática del ingreso (refuerza RN-42).</t>
  </si>
  <si>
    <t xml:space="preserve">HU-025, HU-026</t>
  </si>
  <si>
    <t xml:space="preserve">Contradicción pendiente: RN-41 solo admite efectivo y transferencia; la pasarela no puede habilitar tarjeta ni financiación.</t>
  </si>
  <si>
    <t xml:space="preserve">Convenciones y leyenda</t>
  </si>
  <si>
    <t xml:space="preserve">Reglas aplicadas a todas las operaciones del inventario.</t>
  </si>
  <si>
    <t xml:space="preserve">Elemento</t>
  </si>
  <si>
    <t xml:space="preserve">Convención</t>
  </si>
  <si>
    <t xml:space="preserve">Estructura de respuesta JSON</t>
  </si>
  <si>
    <t xml:space="preserve">Toda respuesta contiene success, data y message (exigencia del docente).</t>
  </si>
  <si>
    <t xml:space="preserve">Respuesta de error</t>
  </si>
  <si>
    <t xml:space="preserve">success = false, data = null y message con texto claro; excepción: 409 por duplicado devuelve el identificador existente.</t>
  </si>
  <si>
    <t xml:space="preserve">Versionado de rutas</t>
  </si>
  <si>
    <t xml:space="preserve">Prefijo /api/v1, según la plantilla del docente. Las rutas del Corte 1 se muestran con el mismo prefijo.</t>
  </si>
  <si>
    <t xml:space="preserve">Nombres de campos</t>
  </si>
  <si>
    <t xml:space="preserve">camelCase; fechas YYYY-MM-DD y marcas de tiempo ISO 8601 con -05:00.</t>
  </si>
  <si>
    <t xml:space="preserve">Códigos HTTP</t>
  </si>
  <si>
    <t xml:space="preserve">200 consulta o actualización, 201 creación, 400 dato inválido o regla incumplida, 404 recurso inexistente, 409 duplicado, 503 falla de base de datos o plataforma externa.</t>
  </si>
  <si>
    <t xml:space="preserve">Eliminación</t>
  </si>
  <si>
    <t xml:space="preserve">No se usa DELETE: ningún registro del negocio se elimina, por trazabilidad e historial.</t>
  </si>
  <si>
    <t xml:space="preserve">Estado: Especificada en historia de usuario (Corte 2)</t>
  </si>
  <si>
    <t xml:space="preserve">La operación está especificada completa con la plantilla del docente en la issue de su historia (columna Gestión Integración del tablero).</t>
  </si>
  <si>
    <t xml:space="preserve">Estado: Definida en Corte 1, pendiente de refinamiento</t>
  </si>
  <si>
    <t xml:space="preserve">La ruta fue definida en la documentación del Corte 1 o en las comunicaciones internas del parcial; su especificación completa queda para el tercer corte.</t>
  </si>
  <si>
    <t xml:space="preserve">Estado: Pendiente (Corte 3)</t>
  </si>
  <si>
    <t xml:space="preserve">La operación está identificada por su historia de usuario; método, ruta y datos se definirán al refinar la historia en el tercer corte.</t>
  </si>
  <si>
    <t xml:space="preserve">Implementación</t>
  </si>
  <si>
    <t xml:space="preserve">Ninguna API está implementada. El inventario refleja diseño y planificación, no código en ejecución.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</si>
</sst>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38"/>
    <col collapsed="false" customWidth="true" hidden="false" outlineLevel="0" max="6" min="6" style="0" width="9"/>
    <col collapsed="false" customWidth="true" hidden="false" outlineLevel="0" max="8" min="7" style="0" width="38"/>
    <col collapsed="false" customWidth="true" hidden="false" outlineLevel="0" max="9" min="9" style="0" width="34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26"/>
    <col collapsed="false" customWidth="true" hidden="false" outlineLevel="0" max="13" min="13" style="0" width="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2.35" hidden="false" customHeight="false" outlineLevel="0" collapsed="false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25</v>
      </c>
      <c r="K6" s="5" t="s">
        <v>26</v>
      </c>
      <c r="L6" s="5" t="s">
        <v>27</v>
      </c>
      <c r="M6" s="5"/>
    </row>
    <row r="7" customFormat="false" ht="22.35" hidden="false" customHeight="false" outlineLevel="0" collapsed="false">
      <c r="A7" s="5" t="s">
        <v>28</v>
      </c>
      <c r="B7" s="5" t="s">
        <v>17</v>
      </c>
      <c r="C7" s="5" t="s">
        <v>18</v>
      </c>
      <c r="D7" s="5" t="s">
        <v>19</v>
      </c>
      <c r="E7" s="5" t="s">
        <v>29</v>
      </c>
      <c r="F7" s="5" t="s">
        <v>30</v>
      </c>
      <c r="G7" s="5" t="s">
        <v>31</v>
      </c>
      <c r="H7" s="5" t="s">
        <v>32</v>
      </c>
      <c r="I7" s="5" t="s">
        <v>33</v>
      </c>
      <c r="J7" s="5" t="s">
        <v>25</v>
      </c>
      <c r="K7" s="5" t="s">
        <v>26</v>
      </c>
      <c r="L7" s="5" t="s">
        <v>34</v>
      </c>
      <c r="M7" s="5" t="s">
        <v>35</v>
      </c>
    </row>
    <row r="8" customFormat="false" ht="22.35" hidden="false" customHeight="false" outlineLevel="0" collapsed="false">
      <c r="A8" s="5" t="s">
        <v>36</v>
      </c>
      <c r="B8" s="5" t="s">
        <v>17</v>
      </c>
      <c r="C8" s="5" t="s">
        <v>18</v>
      </c>
      <c r="D8" s="5" t="s">
        <v>19</v>
      </c>
      <c r="E8" s="5" t="s">
        <v>37</v>
      </c>
      <c r="F8" s="5" t="s">
        <v>30</v>
      </c>
      <c r="G8" s="5" t="s">
        <v>38</v>
      </c>
      <c r="H8" s="5" t="s">
        <v>39</v>
      </c>
      <c r="I8" s="5" t="s">
        <v>40</v>
      </c>
      <c r="J8" s="5" t="s">
        <v>41</v>
      </c>
      <c r="K8" s="5" t="s">
        <v>26</v>
      </c>
      <c r="L8" s="5" t="s">
        <v>34</v>
      </c>
      <c r="M8" s="5"/>
    </row>
    <row r="9" customFormat="false" ht="22.35" hidden="false" customHeight="false" outlineLevel="0" collapsed="false">
      <c r="A9" s="5" t="s">
        <v>42</v>
      </c>
      <c r="B9" s="5" t="s">
        <v>17</v>
      </c>
      <c r="C9" s="5" t="s">
        <v>18</v>
      </c>
      <c r="D9" s="5" t="s">
        <v>19</v>
      </c>
      <c r="E9" s="5" t="s">
        <v>43</v>
      </c>
      <c r="F9" s="5" t="s">
        <v>44</v>
      </c>
      <c r="G9" s="5" t="s">
        <v>45</v>
      </c>
      <c r="H9" s="5" t="s">
        <v>46</v>
      </c>
      <c r="I9" s="5" t="s">
        <v>47</v>
      </c>
      <c r="J9" s="5" t="s">
        <v>48</v>
      </c>
      <c r="K9" s="5" t="s">
        <v>26</v>
      </c>
      <c r="L9" s="5" t="s">
        <v>34</v>
      </c>
      <c r="M9" s="5"/>
    </row>
    <row r="10" customFormat="false" ht="32.8" hidden="false" customHeight="false" outlineLevel="0" collapsed="false">
      <c r="A10" s="5" t="s">
        <v>49</v>
      </c>
      <c r="B10" s="5" t="s">
        <v>17</v>
      </c>
      <c r="C10" s="5" t="s">
        <v>18</v>
      </c>
      <c r="D10" s="5" t="s">
        <v>19</v>
      </c>
      <c r="E10" s="5" t="s">
        <v>50</v>
      </c>
      <c r="F10" s="5" t="s">
        <v>21</v>
      </c>
      <c r="G10" s="5" t="s">
        <v>51</v>
      </c>
      <c r="H10" s="5" t="s">
        <v>52</v>
      </c>
      <c r="I10" s="5" t="s">
        <v>53</v>
      </c>
      <c r="J10" s="5" t="s">
        <v>54</v>
      </c>
      <c r="K10" s="5" t="s">
        <v>26</v>
      </c>
      <c r="L10" s="5" t="s">
        <v>27</v>
      </c>
      <c r="M10" s="5" t="s">
        <v>55</v>
      </c>
    </row>
    <row r="11" customFormat="false" ht="22.35" hidden="false" customHeight="false" outlineLevel="0" collapsed="false">
      <c r="A11" s="5" t="s">
        <v>56</v>
      </c>
      <c r="B11" s="5" t="s">
        <v>17</v>
      </c>
      <c r="C11" s="5" t="s">
        <v>18</v>
      </c>
      <c r="D11" s="5" t="s">
        <v>19</v>
      </c>
      <c r="E11" s="5" t="s">
        <v>57</v>
      </c>
      <c r="F11" s="5" t="s">
        <v>30</v>
      </c>
      <c r="G11" s="5" t="s">
        <v>51</v>
      </c>
      <c r="H11" s="5" t="s">
        <v>39</v>
      </c>
      <c r="I11" s="5" t="s">
        <v>58</v>
      </c>
      <c r="J11" s="5" t="s">
        <v>59</v>
      </c>
      <c r="K11" s="5" t="s">
        <v>60</v>
      </c>
      <c r="L11" s="5" t="s">
        <v>34</v>
      </c>
      <c r="M11" s="5"/>
    </row>
    <row r="12" customFormat="false" ht="22.35" hidden="false" customHeight="false" outlineLevel="0" collapsed="false">
      <c r="A12" s="5" t="s">
        <v>61</v>
      </c>
      <c r="B12" s="5" t="s">
        <v>17</v>
      </c>
      <c r="C12" s="5" t="s">
        <v>18</v>
      </c>
      <c r="D12" s="5" t="s">
        <v>19</v>
      </c>
      <c r="E12" s="5" t="s">
        <v>62</v>
      </c>
      <c r="F12" s="5" t="s">
        <v>30</v>
      </c>
      <c r="G12" s="5" t="s">
        <v>63</v>
      </c>
      <c r="H12" s="5" t="s">
        <v>39</v>
      </c>
      <c r="I12" s="5" t="s">
        <v>64</v>
      </c>
      <c r="J12" s="5" t="s">
        <v>65</v>
      </c>
      <c r="K12" s="5" t="s">
        <v>66</v>
      </c>
      <c r="L12" s="5" t="s">
        <v>34</v>
      </c>
      <c r="M12" s="5"/>
    </row>
    <row r="13" customFormat="false" ht="22.35" hidden="false" customHeight="false" outlineLevel="0" collapsed="false">
      <c r="A13" s="5" t="s">
        <v>67</v>
      </c>
      <c r="B13" s="5" t="s">
        <v>17</v>
      </c>
      <c r="C13" s="5" t="s">
        <v>18</v>
      </c>
      <c r="D13" s="5" t="s">
        <v>68</v>
      </c>
      <c r="E13" s="5" t="s">
        <v>69</v>
      </c>
      <c r="F13" s="5" t="s">
        <v>21</v>
      </c>
      <c r="G13" s="5" t="s">
        <v>70</v>
      </c>
      <c r="H13" s="5" t="s">
        <v>71</v>
      </c>
      <c r="I13" s="5" t="s">
        <v>72</v>
      </c>
      <c r="J13" s="5" t="s">
        <v>73</v>
      </c>
      <c r="K13" s="5" t="s">
        <v>26</v>
      </c>
      <c r="L13" s="5" t="s">
        <v>27</v>
      </c>
      <c r="M13" s="5" t="s">
        <v>74</v>
      </c>
    </row>
    <row r="14" customFormat="false" ht="22.35" hidden="false" customHeight="false" outlineLevel="0" collapsed="false">
      <c r="A14" s="5" t="s">
        <v>75</v>
      </c>
      <c r="B14" s="5" t="s">
        <v>17</v>
      </c>
      <c r="C14" s="5" t="s">
        <v>18</v>
      </c>
      <c r="D14" s="5" t="s">
        <v>68</v>
      </c>
      <c r="E14" s="5" t="s">
        <v>76</v>
      </c>
      <c r="F14" s="5" t="s">
        <v>44</v>
      </c>
      <c r="G14" s="5" t="s">
        <v>77</v>
      </c>
      <c r="H14" s="5" t="s">
        <v>78</v>
      </c>
      <c r="I14" s="5" t="s">
        <v>79</v>
      </c>
      <c r="J14" s="5" t="s">
        <v>80</v>
      </c>
      <c r="K14" s="5" t="s">
        <v>26</v>
      </c>
      <c r="L14" s="5" t="s">
        <v>27</v>
      </c>
      <c r="M14" s="5" t="s">
        <v>81</v>
      </c>
    </row>
    <row r="15" customFormat="false" ht="22.35" hidden="false" customHeight="false" outlineLevel="0" collapsed="false">
      <c r="A15" s="5" t="s">
        <v>82</v>
      </c>
      <c r="B15" s="5" t="s">
        <v>17</v>
      </c>
      <c r="C15" s="5" t="s">
        <v>18</v>
      </c>
      <c r="D15" s="5" t="s">
        <v>68</v>
      </c>
      <c r="E15" s="5" t="s">
        <v>83</v>
      </c>
      <c r="F15" s="5" t="s">
        <v>30</v>
      </c>
      <c r="G15" s="5" t="s">
        <v>84</v>
      </c>
      <c r="H15" s="5" t="s">
        <v>85</v>
      </c>
      <c r="I15" s="5" t="s">
        <v>86</v>
      </c>
      <c r="J15" s="5" t="s">
        <v>87</v>
      </c>
      <c r="K15" s="5" t="s">
        <v>88</v>
      </c>
      <c r="L15" s="5" t="s">
        <v>34</v>
      </c>
      <c r="M15" s="5"/>
    </row>
    <row r="16" customFormat="false" ht="15" hidden="false" customHeight="false" outlineLevel="0" collapsed="false">
      <c r="A16" s="4" t="s">
        <v>89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22.35" hidden="false" customHeight="false" outlineLevel="0" collapsed="false">
      <c r="A17" s="5" t="s">
        <v>90</v>
      </c>
      <c r="B17" s="5" t="s">
        <v>91</v>
      </c>
      <c r="C17" s="5" t="s">
        <v>92</v>
      </c>
      <c r="D17" s="5" t="s">
        <v>93</v>
      </c>
      <c r="E17" s="5" t="s">
        <v>94</v>
      </c>
      <c r="F17" s="5" t="s">
        <v>21</v>
      </c>
      <c r="G17" s="5" t="s">
        <v>95</v>
      </c>
      <c r="H17" s="5" t="s">
        <v>96</v>
      </c>
      <c r="I17" s="5" t="s">
        <v>97</v>
      </c>
      <c r="J17" s="5" t="s">
        <v>98</v>
      </c>
      <c r="K17" s="5" t="s">
        <v>26</v>
      </c>
      <c r="L17" s="5" t="s">
        <v>27</v>
      </c>
      <c r="M17" s="5"/>
    </row>
    <row r="18" customFormat="false" ht="22.35" hidden="false" customHeight="false" outlineLevel="0" collapsed="false">
      <c r="A18" s="5" t="s">
        <v>99</v>
      </c>
      <c r="B18" s="5" t="s">
        <v>91</v>
      </c>
      <c r="C18" s="5" t="s">
        <v>92</v>
      </c>
      <c r="D18" s="5" t="s">
        <v>93</v>
      </c>
      <c r="E18" s="5" t="s">
        <v>100</v>
      </c>
      <c r="F18" s="5" t="s">
        <v>101</v>
      </c>
      <c r="G18" s="5" t="s">
        <v>101</v>
      </c>
      <c r="H18" s="5" t="s">
        <v>101</v>
      </c>
      <c r="I18" s="5" t="s">
        <v>101</v>
      </c>
      <c r="J18" s="5" t="s">
        <v>102</v>
      </c>
      <c r="K18" s="5" t="s">
        <v>26</v>
      </c>
      <c r="L18" s="5" t="s">
        <v>103</v>
      </c>
      <c r="M18" s="5"/>
    </row>
    <row r="19" customFormat="false" ht="22.35" hidden="false" customHeight="false" outlineLevel="0" collapsed="false">
      <c r="A19" s="5" t="s">
        <v>104</v>
      </c>
      <c r="B19" s="5" t="s">
        <v>91</v>
      </c>
      <c r="C19" s="5" t="s">
        <v>92</v>
      </c>
      <c r="D19" s="5" t="s">
        <v>93</v>
      </c>
      <c r="E19" s="5" t="s">
        <v>105</v>
      </c>
      <c r="F19" s="5" t="s">
        <v>101</v>
      </c>
      <c r="G19" s="5" t="s">
        <v>101</v>
      </c>
      <c r="H19" s="5" t="s">
        <v>101</v>
      </c>
      <c r="I19" s="5" t="s">
        <v>101</v>
      </c>
      <c r="J19" s="5" t="s">
        <v>106</v>
      </c>
      <c r="K19" s="5" t="s">
        <v>26</v>
      </c>
      <c r="L19" s="5" t="s">
        <v>103</v>
      </c>
      <c r="M19" s="5"/>
    </row>
    <row r="20" customFormat="false" ht="22.35" hidden="false" customHeight="false" outlineLevel="0" collapsed="false">
      <c r="A20" s="5" t="s">
        <v>107</v>
      </c>
      <c r="B20" s="5" t="s">
        <v>91</v>
      </c>
      <c r="C20" s="5" t="s">
        <v>92</v>
      </c>
      <c r="D20" s="5" t="s">
        <v>93</v>
      </c>
      <c r="E20" s="5" t="s">
        <v>108</v>
      </c>
      <c r="F20" s="5" t="s">
        <v>101</v>
      </c>
      <c r="G20" s="5" t="s">
        <v>101</v>
      </c>
      <c r="H20" s="5" t="s">
        <v>101</v>
      </c>
      <c r="I20" s="5" t="s">
        <v>101</v>
      </c>
      <c r="J20" s="5" t="s">
        <v>109</v>
      </c>
      <c r="K20" s="5" t="s">
        <v>26</v>
      </c>
      <c r="L20" s="5" t="s">
        <v>103</v>
      </c>
      <c r="M20" s="5"/>
    </row>
    <row r="21" customFormat="false" ht="22.35" hidden="false" customHeight="false" outlineLevel="0" collapsed="false">
      <c r="A21" s="5" t="s">
        <v>110</v>
      </c>
      <c r="B21" s="5" t="s">
        <v>91</v>
      </c>
      <c r="C21" s="5" t="s">
        <v>92</v>
      </c>
      <c r="D21" s="5" t="s">
        <v>111</v>
      </c>
      <c r="E21" s="5" t="s">
        <v>112</v>
      </c>
      <c r="F21" s="5" t="s">
        <v>30</v>
      </c>
      <c r="G21" s="5" t="s">
        <v>113</v>
      </c>
      <c r="H21" s="5" t="s">
        <v>114</v>
      </c>
      <c r="I21" s="5" t="s">
        <v>115</v>
      </c>
      <c r="J21" s="5" t="s">
        <v>116</v>
      </c>
      <c r="K21" s="5" t="s">
        <v>117</v>
      </c>
      <c r="L21" s="5" t="s">
        <v>27</v>
      </c>
      <c r="M21" s="5"/>
    </row>
    <row r="22" customFormat="false" ht="22.35" hidden="false" customHeight="false" outlineLevel="0" collapsed="false">
      <c r="A22" s="5" t="s">
        <v>118</v>
      </c>
      <c r="B22" s="5" t="s">
        <v>91</v>
      </c>
      <c r="C22" s="5" t="s">
        <v>92</v>
      </c>
      <c r="D22" s="5" t="s">
        <v>111</v>
      </c>
      <c r="E22" s="5" t="s">
        <v>119</v>
      </c>
      <c r="F22" s="5" t="s">
        <v>101</v>
      </c>
      <c r="G22" s="5" t="s">
        <v>101</v>
      </c>
      <c r="H22" s="5" t="s">
        <v>101</v>
      </c>
      <c r="I22" s="5" t="s">
        <v>101</v>
      </c>
      <c r="J22" s="5" t="s">
        <v>120</v>
      </c>
      <c r="K22" s="5" t="s">
        <v>26</v>
      </c>
      <c r="L22" s="5" t="s">
        <v>103</v>
      </c>
      <c r="M22" s="5"/>
    </row>
    <row r="23" customFormat="false" ht="22.35" hidden="false" customHeight="false" outlineLevel="0" collapsed="false">
      <c r="A23" s="5" t="s">
        <v>121</v>
      </c>
      <c r="B23" s="5" t="s">
        <v>91</v>
      </c>
      <c r="C23" s="5" t="s">
        <v>92</v>
      </c>
      <c r="D23" s="5" t="s">
        <v>111</v>
      </c>
      <c r="E23" s="5" t="s">
        <v>122</v>
      </c>
      <c r="F23" s="5" t="s">
        <v>21</v>
      </c>
      <c r="G23" s="5" t="s">
        <v>123</v>
      </c>
      <c r="H23" s="5" t="s">
        <v>124</v>
      </c>
      <c r="I23" s="5" t="s">
        <v>125</v>
      </c>
      <c r="J23" s="5" t="s">
        <v>126</v>
      </c>
      <c r="K23" s="5" t="s">
        <v>127</v>
      </c>
      <c r="L23" s="5" t="s">
        <v>34</v>
      </c>
      <c r="M23" s="5"/>
    </row>
    <row r="24" customFormat="false" ht="22.35" hidden="false" customHeight="false" outlineLevel="0" collapsed="false">
      <c r="A24" s="5" t="s">
        <v>128</v>
      </c>
      <c r="B24" s="5" t="s">
        <v>91</v>
      </c>
      <c r="C24" s="5" t="s">
        <v>92</v>
      </c>
      <c r="D24" s="5" t="s">
        <v>93</v>
      </c>
      <c r="E24" s="5" t="s">
        <v>129</v>
      </c>
      <c r="F24" s="5" t="s">
        <v>21</v>
      </c>
      <c r="G24" s="5" t="s">
        <v>130</v>
      </c>
      <c r="H24" s="5" t="s">
        <v>131</v>
      </c>
      <c r="I24" s="5" t="s">
        <v>132</v>
      </c>
      <c r="J24" s="5" t="s">
        <v>133</v>
      </c>
      <c r="K24" s="5" t="s">
        <v>134</v>
      </c>
      <c r="L24" s="5" t="s">
        <v>34</v>
      </c>
      <c r="M24" s="5"/>
    </row>
    <row r="25" customFormat="false" ht="15" hidden="false" customHeight="false" outlineLevel="0" collapsed="false">
      <c r="A25" s="4" t="s">
        <v>135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customFormat="false" ht="22.35" hidden="false" customHeight="false" outlineLevel="0" collapsed="false">
      <c r="A26" s="5" t="s">
        <v>136</v>
      </c>
      <c r="B26" s="5" t="s">
        <v>137</v>
      </c>
      <c r="C26" s="5" t="s">
        <v>138</v>
      </c>
      <c r="D26" s="5" t="s">
        <v>139</v>
      </c>
      <c r="E26" s="5" t="s">
        <v>140</v>
      </c>
      <c r="F26" s="5" t="s">
        <v>21</v>
      </c>
      <c r="G26" s="5" t="s">
        <v>141</v>
      </c>
      <c r="H26" s="5" t="s">
        <v>142</v>
      </c>
      <c r="I26" s="5" t="s">
        <v>143</v>
      </c>
      <c r="J26" s="5" t="s">
        <v>87</v>
      </c>
      <c r="K26" s="5" t="s">
        <v>26</v>
      </c>
      <c r="L26" s="5" t="s">
        <v>27</v>
      </c>
      <c r="M26" s="5" t="s">
        <v>144</v>
      </c>
    </row>
    <row r="27" customFormat="false" ht="22.35" hidden="false" customHeight="false" outlineLevel="0" collapsed="false">
      <c r="A27" s="5" t="s">
        <v>145</v>
      </c>
      <c r="B27" s="5" t="s">
        <v>137</v>
      </c>
      <c r="C27" s="5" t="s">
        <v>138</v>
      </c>
      <c r="D27" s="5" t="s">
        <v>139</v>
      </c>
      <c r="E27" s="5" t="s">
        <v>146</v>
      </c>
      <c r="F27" s="5" t="s">
        <v>21</v>
      </c>
      <c r="G27" s="5" t="s">
        <v>147</v>
      </c>
      <c r="H27" s="5" t="s">
        <v>148</v>
      </c>
      <c r="I27" s="5" t="s">
        <v>149</v>
      </c>
      <c r="J27" s="5" t="s">
        <v>150</v>
      </c>
      <c r="K27" s="5" t="s">
        <v>26</v>
      </c>
      <c r="L27" s="5" t="s">
        <v>27</v>
      </c>
      <c r="M27" s="5"/>
    </row>
    <row r="28" customFormat="false" ht="22.35" hidden="false" customHeight="false" outlineLevel="0" collapsed="false">
      <c r="A28" s="5" t="s">
        <v>151</v>
      </c>
      <c r="B28" s="5" t="s">
        <v>137</v>
      </c>
      <c r="C28" s="5" t="s">
        <v>138</v>
      </c>
      <c r="D28" s="5" t="s">
        <v>139</v>
      </c>
      <c r="E28" s="5" t="s">
        <v>152</v>
      </c>
      <c r="F28" s="5" t="s">
        <v>101</v>
      </c>
      <c r="G28" s="5" t="s">
        <v>101</v>
      </c>
      <c r="H28" s="5" t="s">
        <v>101</v>
      </c>
      <c r="I28" s="5" t="s">
        <v>101</v>
      </c>
      <c r="J28" s="5" t="s">
        <v>153</v>
      </c>
      <c r="K28" s="5" t="s">
        <v>26</v>
      </c>
      <c r="L28" s="5" t="s">
        <v>103</v>
      </c>
      <c r="M28" s="5"/>
    </row>
    <row r="29" customFormat="false" ht="22.35" hidden="false" customHeight="false" outlineLevel="0" collapsed="false">
      <c r="A29" s="5" t="s">
        <v>154</v>
      </c>
      <c r="B29" s="5" t="s">
        <v>137</v>
      </c>
      <c r="C29" s="5" t="s">
        <v>138</v>
      </c>
      <c r="D29" s="5" t="s">
        <v>139</v>
      </c>
      <c r="E29" s="5" t="s">
        <v>155</v>
      </c>
      <c r="F29" s="5" t="s">
        <v>21</v>
      </c>
      <c r="G29" s="5" t="s">
        <v>156</v>
      </c>
      <c r="H29" s="5" t="s">
        <v>157</v>
      </c>
      <c r="I29" s="5" t="s">
        <v>158</v>
      </c>
      <c r="J29" s="5" t="s">
        <v>159</v>
      </c>
      <c r="K29" s="5" t="s">
        <v>26</v>
      </c>
      <c r="L29" s="5" t="s">
        <v>27</v>
      </c>
      <c r="M29" s="5"/>
    </row>
    <row r="30" customFormat="false" ht="22.35" hidden="false" customHeight="false" outlineLevel="0" collapsed="false">
      <c r="A30" s="5" t="s">
        <v>160</v>
      </c>
      <c r="B30" s="5" t="s">
        <v>137</v>
      </c>
      <c r="C30" s="5" t="s">
        <v>138</v>
      </c>
      <c r="D30" s="5" t="s">
        <v>161</v>
      </c>
      <c r="E30" s="5" t="s">
        <v>162</v>
      </c>
      <c r="F30" s="5" t="s">
        <v>21</v>
      </c>
      <c r="G30" s="5" t="s">
        <v>163</v>
      </c>
      <c r="H30" s="5" t="s">
        <v>164</v>
      </c>
      <c r="I30" s="5" t="s">
        <v>165</v>
      </c>
      <c r="J30" s="5" t="s">
        <v>166</v>
      </c>
      <c r="K30" s="5" t="s">
        <v>26</v>
      </c>
      <c r="L30" s="5" t="s">
        <v>27</v>
      </c>
      <c r="M30" s="5"/>
    </row>
    <row r="31" customFormat="false" ht="22.35" hidden="false" customHeight="false" outlineLevel="0" collapsed="false">
      <c r="A31" s="5" t="s">
        <v>167</v>
      </c>
      <c r="B31" s="5" t="s">
        <v>137</v>
      </c>
      <c r="C31" s="5" t="s">
        <v>138</v>
      </c>
      <c r="D31" s="5" t="s">
        <v>161</v>
      </c>
      <c r="E31" s="5" t="s">
        <v>168</v>
      </c>
      <c r="F31" s="5" t="s">
        <v>21</v>
      </c>
      <c r="G31" s="5" t="s">
        <v>169</v>
      </c>
      <c r="H31" s="5" t="s">
        <v>170</v>
      </c>
      <c r="I31" s="5" t="s">
        <v>171</v>
      </c>
      <c r="J31" s="5" t="s">
        <v>172</v>
      </c>
      <c r="K31" s="5" t="s">
        <v>26</v>
      </c>
      <c r="L31" s="5" t="s">
        <v>27</v>
      </c>
      <c r="M31" s="5" t="s">
        <v>173</v>
      </c>
    </row>
    <row r="32" customFormat="false" ht="22.35" hidden="false" customHeight="false" outlineLevel="0" collapsed="false">
      <c r="A32" s="5" t="s">
        <v>174</v>
      </c>
      <c r="B32" s="5" t="s">
        <v>137</v>
      </c>
      <c r="C32" s="5" t="s">
        <v>138</v>
      </c>
      <c r="D32" s="5" t="s">
        <v>161</v>
      </c>
      <c r="E32" s="5" t="s">
        <v>175</v>
      </c>
      <c r="F32" s="5" t="s">
        <v>21</v>
      </c>
      <c r="G32" s="5" t="s">
        <v>176</v>
      </c>
      <c r="H32" s="5" t="s">
        <v>177</v>
      </c>
      <c r="I32" s="5" t="s">
        <v>178</v>
      </c>
      <c r="J32" s="5" t="s">
        <v>179</v>
      </c>
      <c r="K32" s="5" t="s">
        <v>180</v>
      </c>
      <c r="L32" s="5" t="s">
        <v>27</v>
      </c>
      <c r="M32" s="5" t="s">
        <v>181</v>
      </c>
    </row>
    <row r="33" customFormat="false" ht="22.35" hidden="false" customHeight="false" outlineLevel="0" collapsed="false">
      <c r="A33" s="5" t="s">
        <v>182</v>
      </c>
      <c r="B33" s="5" t="s">
        <v>137</v>
      </c>
      <c r="C33" s="5" t="s">
        <v>138</v>
      </c>
      <c r="D33" s="5" t="s">
        <v>161</v>
      </c>
      <c r="E33" s="5" t="s">
        <v>183</v>
      </c>
      <c r="F33" s="5" t="s">
        <v>30</v>
      </c>
      <c r="G33" s="5" t="s">
        <v>184</v>
      </c>
      <c r="H33" s="5" t="s">
        <v>39</v>
      </c>
      <c r="I33" s="5" t="s">
        <v>185</v>
      </c>
      <c r="J33" s="5" t="s">
        <v>186</v>
      </c>
      <c r="K33" s="5" t="s">
        <v>26</v>
      </c>
      <c r="L33" s="5" t="s">
        <v>34</v>
      </c>
      <c r="M33" s="5"/>
    </row>
    <row r="34" customFormat="false" ht="22.35" hidden="false" customHeight="false" outlineLevel="0" collapsed="false">
      <c r="A34" s="5" t="s">
        <v>187</v>
      </c>
      <c r="B34" s="5" t="s">
        <v>137</v>
      </c>
      <c r="C34" s="5" t="s">
        <v>138</v>
      </c>
      <c r="D34" s="5" t="s">
        <v>161</v>
      </c>
      <c r="E34" s="5" t="s">
        <v>188</v>
      </c>
      <c r="F34" s="5" t="s">
        <v>30</v>
      </c>
      <c r="G34" s="5" t="s">
        <v>189</v>
      </c>
      <c r="H34" s="5" t="s">
        <v>148</v>
      </c>
      <c r="I34" s="5" t="s">
        <v>190</v>
      </c>
      <c r="J34" s="5" t="s">
        <v>191</v>
      </c>
      <c r="K34" s="5" t="s">
        <v>192</v>
      </c>
      <c r="L34" s="5" t="s">
        <v>34</v>
      </c>
      <c r="M34" s="5"/>
    </row>
    <row r="35" customFormat="false" ht="15" hidden="false" customHeight="false" outlineLevel="0" collapsed="false">
      <c r="A35" s="4" t="s">
        <v>193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customFormat="false" ht="22.35" hidden="false" customHeight="false" outlineLevel="0" collapsed="false">
      <c r="A36" s="5" t="s">
        <v>194</v>
      </c>
      <c r="B36" s="5" t="s">
        <v>195</v>
      </c>
      <c r="C36" s="5" t="s">
        <v>196</v>
      </c>
      <c r="D36" s="5" t="s">
        <v>197</v>
      </c>
      <c r="E36" s="5" t="s">
        <v>198</v>
      </c>
      <c r="F36" s="5" t="s">
        <v>21</v>
      </c>
      <c r="G36" s="5" t="s">
        <v>199</v>
      </c>
      <c r="H36" s="5" t="s">
        <v>200</v>
      </c>
      <c r="I36" s="5" t="s">
        <v>201</v>
      </c>
      <c r="J36" s="5" t="s">
        <v>191</v>
      </c>
      <c r="K36" s="5" t="s">
        <v>26</v>
      </c>
      <c r="L36" s="5" t="s">
        <v>27</v>
      </c>
      <c r="M36" s="5"/>
    </row>
    <row r="37" customFormat="false" ht="22.35" hidden="false" customHeight="false" outlineLevel="0" collapsed="false">
      <c r="A37" s="5" t="s">
        <v>202</v>
      </c>
      <c r="B37" s="5" t="s">
        <v>195</v>
      </c>
      <c r="C37" s="5" t="s">
        <v>196</v>
      </c>
      <c r="D37" s="5" t="s">
        <v>197</v>
      </c>
      <c r="E37" s="5" t="s">
        <v>203</v>
      </c>
      <c r="F37" s="5" t="s">
        <v>30</v>
      </c>
      <c r="G37" s="5" t="s">
        <v>204</v>
      </c>
      <c r="H37" s="5" t="s">
        <v>39</v>
      </c>
      <c r="I37" s="5" t="s">
        <v>205</v>
      </c>
      <c r="J37" s="5" t="s">
        <v>206</v>
      </c>
      <c r="K37" s="5" t="s">
        <v>26</v>
      </c>
      <c r="L37" s="5" t="s">
        <v>34</v>
      </c>
      <c r="M37" s="5"/>
    </row>
    <row r="38" customFormat="false" ht="22.35" hidden="false" customHeight="false" outlineLevel="0" collapsed="false">
      <c r="A38" s="5" t="s">
        <v>207</v>
      </c>
      <c r="B38" s="5" t="s">
        <v>195</v>
      </c>
      <c r="C38" s="5" t="s">
        <v>196</v>
      </c>
      <c r="D38" s="5" t="s">
        <v>197</v>
      </c>
      <c r="E38" s="5" t="s">
        <v>208</v>
      </c>
      <c r="F38" s="5" t="s">
        <v>30</v>
      </c>
      <c r="G38" s="5" t="s">
        <v>209</v>
      </c>
      <c r="H38" s="5" t="s">
        <v>210</v>
      </c>
      <c r="I38" s="5" t="s">
        <v>211</v>
      </c>
      <c r="J38" s="5" t="s">
        <v>212</v>
      </c>
      <c r="K38" s="5" t="s">
        <v>213</v>
      </c>
      <c r="L38" s="5" t="s">
        <v>34</v>
      </c>
      <c r="M38" s="5"/>
    </row>
    <row r="39" customFormat="false" ht="22.35" hidden="false" customHeight="false" outlineLevel="0" collapsed="false">
      <c r="A39" s="5" t="s">
        <v>214</v>
      </c>
      <c r="B39" s="5" t="s">
        <v>195</v>
      </c>
      <c r="C39" s="5" t="s">
        <v>196</v>
      </c>
      <c r="D39" s="5" t="s">
        <v>215</v>
      </c>
      <c r="E39" s="5" t="s">
        <v>216</v>
      </c>
      <c r="F39" s="5" t="s">
        <v>21</v>
      </c>
      <c r="G39" s="5" t="s">
        <v>217</v>
      </c>
      <c r="H39" s="5" t="s">
        <v>218</v>
      </c>
      <c r="I39" s="5" t="s">
        <v>219</v>
      </c>
      <c r="J39" s="5" t="s">
        <v>220</v>
      </c>
      <c r="K39" s="5" t="s">
        <v>26</v>
      </c>
      <c r="L39" s="5" t="s">
        <v>34</v>
      </c>
      <c r="M39" s="5"/>
    </row>
    <row r="40" customFormat="false" ht="22.35" hidden="false" customHeight="false" outlineLevel="0" collapsed="false">
      <c r="A40" s="5" t="s">
        <v>221</v>
      </c>
      <c r="B40" s="5" t="s">
        <v>195</v>
      </c>
      <c r="C40" s="5" t="s">
        <v>196</v>
      </c>
      <c r="D40" s="5" t="s">
        <v>215</v>
      </c>
      <c r="E40" s="5" t="s">
        <v>222</v>
      </c>
      <c r="F40" s="5" t="s">
        <v>21</v>
      </c>
      <c r="G40" s="5" t="s">
        <v>223</v>
      </c>
      <c r="H40" s="5" t="s">
        <v>224</v>
      </c>
      <c r="I40" s="5" t="s">
        <v>225</v>
      </c>
      <c r="J40" s="5" t="s">
        <v>226</v>
      </c>
      <c r="K40" s="5" t="s">
        <v>26</v>
      </c>
      <c r="L40" s="5" t="s">
        <v>34</v>
      </c>
      <c r="M40" s="5"/>
    </row>
    <row r="41" customFormat="false" ht="22.35" hidden="false" customHeight="false" outlineLevel="0" collapsed="false">
      <c r="A41" s="5" t="s">
        <v>227</v>
      </c>
      <c r="B41" s="5" t="s">
        <v>195</v>
      </c>
      <c r="C41" s="5" t="s">
        <v>196</v>
      </c>
      <c r="D41" s="5" t="s">
        <v>215</v>
      </c>
      <c r="E41" s="5" t="s">
        <v>228</v>
      </c>
      <c r="F41" s="5" t="s">
        <v>44</v>
      </c>
      <c r="G41" s="5" t="s">
        <v>229</v>
      </c>
      <c r="H41" s="5" t="s">
        <v>230</v>
      </c>
      <c r="I41" s="5" t="s">
        <v>231</v>
      </c>
      <c r="J41" s="5" t="s">
        <v>232</v>
      </c>
      <c r="K41" s="5" t="s">
        <v>26</v>
      </c>
      <c r="L41" s="5" t="s">
        <v>34</v>
      </c>
      <c r="M41" s="5" t="s">
        <v>233</v>
      </c>
    </row>
    <row r="42" customFormat="false" ht="22.35" hidden="false" customHeight="false" outlineLevel="0" collapsed="false">
      <c r="A42" s="5" t="s">
        <v>234</v>
      </c>
      <c r="B42" s="5" t="s">
        <v>195</v>
      </c>
      <c r="C42" s="5" t="s">
        <v>196</v>
      </c>
      <c r="D42" s="5" t="s">
        <v>197</v>
      </c>
      <c r="E42" s="5" t="s">
        <v>235</v>
      </c>
      <c r="F42" s="5" t="s">
        <v>30</v>
      </c>
      <c r="G42" s="5" t="s">
        <v>236</v>
      </c>
      <c r="H42" s="5" t="s">
        <v>210</v>
      </c>
      <c r="I42" s="5" t="s">
        <v>237</v>
      </c>
      <c r="J42" s="5" t="s">
        <v>238</v>
      </c>
      <c r="K42" s="5" t="s">
        <v>239</v>
      </c>
      <c r="L42" s="5" t="s">
        <v>34</v>
      </c>
      <c r="M42" s="5"/>
    </row>
    <row r="43" customFormat="false" ht="22.35" hidden="false" customHeight="false" outlineLevel="0" collapsed="false">
      <c r="A43" s="5" t="s">
        <v>240</v>
      </c>
      <c r="B43" s="5" t="s">
        <v>195</v>
      </c>
      <c r="C43" s="5" t="s">
        <v>196</v>
      </c>
      <c r="D43" s="5" t="s">
        <v>215</v>
      </c>
      <c r="E43" s="5" t="s">
        <v>241</v>
      </c>
      <c r="F43" s="5" t="s">
        <v>21</v>
      </c>
      <c r="G43" s="5" t="s">
        <v>242</v>
      </c>
      <c r="H43" s="5" t="s">
        <v>243</v>
      </c>
      <c r="I43" s="5" t="s">
        <v>244</v>
      </c>
      <c r="J43" s="5" t="s">
        <v>245</v>
      </c>
      <c r="K43" s="5" t="s">
        <v>127</v>
      </c>
      <c r="L43" s="5" t="s">
        <v>34</v>
      </c>
      <c r="M43" s="5"/>
    </row>
    <row r="44" customFormat="false" ht="15" hidden="false" customHeight="false" outlineLevel="0" collapsed="false">
      <c r="A44" s="4" t="s">
        <v>246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customFormat="false" ht="22.35" hidden="false" customHeight="false" outlineLevel="0" collapsed="false">
      <c r="A45" s="5" t="s">
        <v>247</v>
      </c>
      <c r="B45" s="5" t="s">
        <v>248</v>
      </c>
      <c r="C45" s="5" t="s">
        <v>249</v>
      </c>
      <c r="D45" s="5" t="s">
        <v>250</v>
      </c>
      <c r="E45" s="5" t="s">
        <v>251</v>
      </c>
      <c r="F45" s="5" t="s">
        <v>21</v>
      </c>
      <c r="G45" s="5" t="s">
        <v>252</v>
      </c>
      <c r="H45" s="5" t="s">
        <v>253</v>
      </c>
      <c r="I45" s="5" t="s">
        <v>254</v>
      </c>
      <c r="J45" s="5" t="s">
        <v>255</v>
      </c>
      <c r="K45" s="5" t="s">
        <v>26</v>
      </c>
      <c r="L45" s="5" t="s">
        <v>27</v>
      </c>
      <c r="M45" s="5" t="s">
        <v>256</v>
      </c>
    </row>
    <row r="46" customFormat="false" ht="22.35" hidden="false" customHeight="false" outlineLevel="0" collapsed="false">
      <c r="A46" s="5" t="s">
        <v>257</v>
      </c>
      <c r="B46" s="5" t="s">
        <v>248</v>
      </c>
      <c r="C46" s="5" t="s">
        <v>249</v>
      </c>
      <c r="D46" s="5" t="s">
        <v>250</v>
      </c>
      <c r="E46" s="5" t="s">
        <v>258</v>
      </c>
      <c r="F46" s="5" t="s">
        <v>44</v>
      </c>
      <c r="G46" s="5" t="s">
        <v>259</v>
      </c>
      <c r="H46" s="5" t="s">
        <v>260</v>
      </c>
      <c r="I46" s="5" t="s">
        <v>261</v>
      </c>
      <c r="J46" s="5" t="s">
        <v>262</v>
      </c>
      <c r="K46" s="5" t="s">
        <v>26</v>
      </c>
      <c r="L46" s="5" t="s">
        <v>27</v>
      </c>
      <c r="M46" s="5" t="s">
        <v>263</v>
      </c>
    </row>
    <row r="47" customFormat="false" ht="22.35" hidden="false" customHeight="false" outlineLevel="0" collapsed="false">
      <c r="A47" s="5" t="s">
        <v>264</v>
      </c>
      <c r="B47" s="5" t="s">
        <v>248</v>
      </c>
      <c r="C47" s="5" t="s">
        <v>249</v>
      </c>
      <c r="D47" s="5" t="s">
        <v>250</v>
      </c>
      <c r="E47" s="5" t="s">
        <v>265</v>
      </c>
      <c r="F47" s="5" t="s">
        <v>30</v>
      </c>
      <c r="G47" s="5" t="s">
        <v>266</v>
      </c>
      <c r="H47" s="5" t="s">
        <v>210</v>
      </c>
      <c r="I47" s="5" t="s">
        <v>267</v>
      </c>
      <c r="J47" s="5" t="s">
        <v>268</v>
      </c>
      <c r="K47" s="5" t="s">
        <v>269</v>
      </c>
      <c r="L47" s="5" t="s">
        <v>34</v>
      </c>
      <c r="M47" s="5" t="s">
        <v>270</v>
      </c>
    </row>
    <row r="48" customFormat="false" ht="22.35" hidden="false" customHeight="false" outlineLevel="0" collapsed="false">
      <c r="A48" s="5" t="s">
        <v>271</v>
      </c>
      <c r="B48" s="5" t="s">
        <v>248</v>
      </c>
      <c r="C48" s="5" t="s">
        <v>249</v>
      </c>
      <c r="D48" s="5" t="s">
        <v>250</v>
      </c>
      <c r="E48" s="5" t="s">
        <v>272</v>
      </c>
      <c r="F48" s="5" t="s">
        <v>101</v>
      </c>
      <c r="G48" s="5" t="s">
        <v>101</v>
      </c>
      <c r="H48" s="5" t="s">
        <v>101</v>
      </c>
      <c r="I48" s="5" t="s">
        <v>101</v>
      </c>
      <c r="J48" s="5" t="s">
        <v>273</v>
      </c>
      <c r="K48" s="5" t="s">
        <v>26</v>
      </c>
      <c r="L48" s="5" t="s">
        <v>103</v>
      </c>
      <c r="M48" s="5"/>
    </row>
    <row r="49" customFormat="false" ht="22.35" hidden="false" customHeight="false" outlineLevel="0" collapsed="false">
      <c r="A49" s="5" t="s">
        <v>274</v>
      </c>
      <c r="B49" s="5" t="s">
        <v>248</v>
      </c>
      <c r="C49" s="5" t="s">
        <v>249</v>
      </c>
      <c r="D49" s="5" t="s">
        <v>275</v>
      </c>
      <c r="E49" s="5" t="s">
        <v>276</v>
      </c>
      <c r="F49" s="5" t="s">
        <v>30</v>
      </c>
      <c r="G49" s="5" t="s">
        <v>277</v>
      </c>
      <c r="H49" s="5" t="s">
        <v>210</v>
      </c>
      <c r="I49" s="5" t="s">
        <v>278</v>
      </c>
      <c r="J49" s="5" t="s">
        <v>279</v>
      </c>
      <c r="K49" s="5" t="s">
        <v>26</v>
      </c>
      <c r="L49" s="5" t="s">
        <v>27</v>
      </c>
      <c r="M49" s="5" t="s">
        <v>280</v>
      </c>
    </row>
    <row r="50" customFormat="false" ht="22.35" hidden="false" customHeight="false" outlineLevel="0" collapsed="false">
      <c r="A50" s="5" t="s">
        <v>281</v>
      </c>
      <c r="B50" s="5" t="s">
        <v>248</v>
      </c>
      <c r="C50" s="5" t="s">
        <v>249</v>
      </c>
      <c r="D50" s="5" t="s">
        <v>275</v>
      </c>
      <c r="E50" s="5" t="s">
        <v>282</v>
      </c>
      <c r="F50" s="5" t="s">
        <v>21</v>
      </c>
      <c r="G50" s="5" t="s">
        <v>283</v>
      </c>
      <c r="H50" s="5" t="s">
        <v>284</v>
      </c>
      <c r="I50" s="5" t="s">
        <v>285</v>
      </c>
      <c r="J50" s="5" t="s">
        <v>133</v>
      </c>
      <c r="K50" s="5" t="s">
        <v>26</v>
      </c>
      <c r="L50" s="5" t="s">
        <v>27</v>
      </c>
      <c r="M50" s="5" t="s">
        <v>173</v>
      </c>
    </row>
    <row r="51" customFormat="false" ht="22.35" hidden="false" customHeight="false" outlineLevel="0" collapsed="false">
      <c r="A51" s="5" t="s">
        <v>286</v>
      </c>
      <c r="B51" s="5" t="s">
        <v>248</v>
      </c>
      <c r="C51" s="5" t="s">
        <v>249</v>
      </c>
      <c r="D51" s="5" t="s">
        <v>275</v>
      </c>
      <c r="E51" s="5" t="s">
        <v>287</v>
      </c>
      <c r="F51" s="5" t="s">
        <v>101</v>
      </c>
      <c r="G51" s="5" t="s">
        <v>101</v>
      </c>
      <c r="H51" s="5" t="s">
        <v>101</v>
      </c>
      <c r="I51" s="5" t="s">
        <v>101</v>
      </c>
      <c r="J51" s="5" t="s">
        <v>288</v>
      </c>
      <c r="K51" s="5" t="s">
        <v>26</v>
      </c>
      <c r="L51" s="5" t="s">
        <v>103</v>
      </c>
      <c r="M51" s="5"/>
    </row>
    <row r="52" customFormat="false" ht="22.35" hidden="false" customHeight="false" outlineLevel="0" collapsed="false">
      <c r="A52" s="5" t="s">
        <v>289</v>
      </c>
      <c r="B52" s="5" t="s">
        <v>248</v>
      </c>
      <c r="C52" s="5" t="s">
        <v>249</v>
      </c>
      <c r="D52" s="5" t="s">
        <v>275</v>
      </c>
      <c r="E52" s="5" t="s">
        <v>290</v>
      </c>
      <c r="F52" s="5" t="s">
        <v>101</v>
      </c>
      <c r="G52" s="5" t="s">
        <v>101</v>
      </c>
      <c r="H52" s="5" t="s">
        <v>101</v>
      </c>
      <c r="I52" s="5" t="s">
        <v>101</v>
      </c>
      <c r="J52" s="5" t="s">
        <v>291</v>
      </c>
      <c r="K52" s="5" t="s">
        <v>26</v>
      </c>
      <c r="L52" s="5" t="s">
        <v>103</v>
      </c>
      <c r="M52" s="5"/>
    </row>
    <row r="53" customFormat="false" ht="22.35" hidden="false" customHeight="false" outlineLevel="0" collapsed="false">
      <c r="A53" s="5" t="s">
        <v>292</v>
      </c>
      <c r="B53" s="5" t="s">
        <v>248</v>
      </c>
      <c r="C53" s="5" t="s">
        <v>249</v>
      </c>
      <c r="D53" s="5" t="s">
        <v>275</v>
      </c>
      <c r="E53" s="5" t="s">
        <v>293</v>
      </c>
      <c r="F53" s="5" t="s">
        <v>30</v>
      </c>
      <c r="G53" s="5" t="s">
        <v>294</v>
      </c>
      <c r="H53" s="5" t="s">
        <v>210</v>
      </c>
      <c r="I53" s="5" t="s">
        <v>295</v>
      </c>
      <c r="J53" s="5" t="s">
        <v>296</v>
      </c>
      <c r="K53" s="5" t="s">
        <v>66</v>
      </c>
      <c r="L53" s="5" t="s">
        <v>34</v>
      </c>
      <c r="M53" s="5"/>
    </row>
    <row r="54" customFormat="false" ht="15" hidden="false" customHeight="false" outlineLevel="0" collapsed="false">
      <c r="A54" s="4" t="s">
        <v>297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customFormat="false" ht="22.35" hidden="false" customHeight="false" outlineLevel="0" collapsed="false">
      <c r="A55" s="5" t="s">
        <v>298</v>
      </c>
      <c r="B55" s="5" t="s">
        <v>299</v>
      </c>
      <c r="C55" s="5" t="s">
        <v>300</v>
      </c>
      <c r="D55" s="5" t="s">
        <v>301</v>
      </c>
      <c r="E55" s="5" t="s">
        <v>302</v>
      </c>
      <c r="F55" s="5" t="s">
        <v>21</v>
      </c>
      <c r="G55" s="5" t="s">
        <v>303</v>
      </c>
      <c r="H55" s="5" t="s">
        <v>210</v>
      </c>
      <c r="I55" s="5" t="s">
        <v>304</v>
      </c>
      <c r="J55" s="5" t="s">
        <v>65</v>
      </c>
      <c r="K55" s="5" t="s">
        <v>305</v>
      </c>
      <c r="L55" s="5" t="s">
        <v>27</v>
      </c>
      <c r="M55" s="5"/>
    </row>
    <row r="56" customFormat="false" ht="22.35" hidden="false" customHeight="false" outlineLevel="0" collapsed="false">
      <c r="A56" s="5" t="s">
        <v>306</v>
      </c>
      <c r="B56" s="5" t="s">
        <v>299</v>
      </c>
      <c r="C56" s="5" t="s">
        <v>300</v>
      </c>
      <c r="D56" s="5" t="s">
        <v>301</v>
      </c>
      <c r="E56" s="5" t="s">
        <v>307</v>
      </c>
      <c r="F56" s="5" t="s">
        <v>101</v>
      </c>
      <c r="G56" s="5" t="s">
        <v>101</v>
      </c>
      <c r="H56" s="5" t="s">
        <v>101</v>
      </c>
      <c r="I56" s="5" t="s">
        <v>101</v>
      </c>
      <c r="J56" s="5" t="s">
        <v>308</v>
      </c>
      <c r="K56" s="5" t="s">
        <v>26</v>
      </c>
      <c r="L56" s="5" t="s">
        <v>103</v>
      </c>
      <c r="M56" s="5"/>
    </row>
    <row r="57" customFormat="false" ht="22.35" hidden="false" customHeight="false" outlineLevel="0" collapsed="false">
      <c r="A57" s="5" t="s">
        <v>309</v>
      </c>
      <c r="B57" s="5" t="s">
        <v>299</v>
      </c>
      <c r="C57" s="5" t="s">
        <v>300</v>
      </c>
      <c r="D57" s="5" t="s">
        <v>301</v>
      </c>
      <c r="E57" s="5" t="s">
        <v>310</v>
      </c>
      <c r="F57" s="5" t="s">
        <v>101</v>
      </c>
      <c r="G57" s="5" t="s">
        <v>101</v>
      </c>
      <c r="H57" s="5" t="s">
        <v>101</v>
      </c>
      <c r="I57" s="5" t="s">
        <v>101</v>
      </c>
      <c r="J57" s="5" t="s">
        <v>311</v>
      </c>
      <c r="K57" s="5" t="s">
        <v>26</v>
      </c>
      <c r="L57" s="5" t="s">
        <v>103</v>
      </c>
      <c r="M57" s="5"/>
    </row>
    <row r="58" customFormat="false" ht="22.35" hidden="false" customHeight="false" outlineLevel="0" collapsed="false">
      <c r="A58" s="5" t="s">
        <v>312</v>
      </c>
      <c r="B58" s="5" t="s">
        <v>299</v>
      </c>
      <c r="C58" s="5" t="s">
        <v>300</v>
      </c>
      <c r="D58" s="5" t="s">
        <v>313</v>
      </c>
      <c r="E58" s="5" t="s">
        <v>314</v>
      </c>
      <c r="F58" s="5" t="s">
        <v>101</v>
      </c>
      <c r="G58" s="5" t="s">
        <v>101</v>
      </c>
      <c r="H58" s="5" t="s">
        <v>101</v>
      </c>
      <c r="I58" s="5" t="s">
        <v>101</v>
      </c>
      <c r="J58" s="5" t="s">
        <v>296</v>
      </c>
      <c r="K58" s="5" t="s">
        <v>26</v>
      </c>
      <c r="L58" s="5" t="s">
        <v>103</v>
      </c>
      <c r="M58" s="5"/>
    </row>
    <row r="59" customFormat="false" ht="22.35" hidden="false" customHeight="false" outlineLevel="0" collapsed="false">
      <c r="A59" s="5" t="s">
        <v>315</v>
      </c>
      <c r="B59" s="5" t="s">
        <v>299</v>
      </c>
      <c r="C59" s="5" t="s">
        <v>300</v>
      </c>
      <c r="D59" s="5" t="s">
        <v>313</v>
      </c>
      <c r="E59" s="5" t="s">
        <v>316</v>
      </c>
      <c r="F59" s="5" t="s">
        <v>101</v>
      </c>
      <c r="G59" s="5" t="s">
        <v>101</v>
      </c>
      <c r="H59" s="5" t="s">
        <v>101</v>
      </c>
      <c r="I59" s="5" t="s">
        <v>101</v>
      </c>
      <c r="J59" s="5" t="s">
        <v>317</v>
      </c>
      <c r="K59" s="5" t="s">
        <v>26</v>
      </c>
      <c r="L59" s="5" t="s">
        <v>103</v>
      </c>
      <c r="M59" s="5"/>
    </row>
    <row r="60" customFormat="false" ht="15" hidden="false" customHeight="false" outlineLevel="0" collapsed="false">
      <c r="A60" s="4" t="s">
        <v>318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customFormat="false" ht="22.35" hidden="false" customHeight="false" outlineLevel="0" collapsed="false">
      <c r="A61" s="5" t="s">
        <v>319</v>
      </c>
      <c r="B61" s="5" t="s">
        <v>320</v>
      </c>
      <c r="C61" s="5" t="s">
        <v>321</v>
      </c>
      <c r="D61" s="5" t="s">
        <v>322</v>
      </c>
      <c r="E61" s="5" t="s">
        <v>323</v>
      </c>
      <c r="F61" s="5" t="s">
        <v>21</v>
      </c>
      <c r="G61" s="5" t="s">
        <v>324</v>
      </c>
      <c r="H61" s="5" t="s">
        <v>325</v>
      </c>
      <c r="I61" s="5" t="s">
        <v>326</v>
      </c>
      <c r="J61" s="5" t="s">
        <v>126</v>
      </c>
      <c r="K61" s="5" t="s">
        <v>26</v>
      </c>
      <c r="L61" s="5" t="s">
        <v>27</v>
      </c>
      <c r="M61" s="5"/>
    </row>
    <row r="62" customFormat="false" ht="22.35" hidden="false" customHeight="false" outlineLevel="0" collapsed="false">
      <c r="A62" s="5" t="s">
        <v>327</v>
      </c>
      <c r="B62" s="5" t="s">
        <v>320</v>
      </c>
      <c r="C62" s="5" t="s">
        <v>321</v>
      </c>
      <c r="D62" s="5" t="s">
        <v>322</v>
      </c>
      <c r="E62" s="5" t="s">
        <v>328</v>
      </c>
      <c r="F62" s="5" t="s">
        <v>44</v>
      </c>
      <c r="G62" s="5" t="s">
        <v>329</v>
      </c>
      <c r="H62" s="5" t="s">
        <v>330</v>
      </c>
      <c r="I62" s="5" t="s">
        <v>331</v>
      </c>
      <c r="J62" s="5" t="s">
        <v>332</v>
      </c>
      <c r="K62" s="5" t="s">
        <v>26</v>
      </c>
      <c r="L62" s="5" t="s">
        <v>27</v>
      </c>
      <c r="M62" s="5"/>
    </row>
    <row r="63" customFormat="false" ht="22.35" hidden="false" customHeight="false" outlineLevel="0" collapsed="false">
      <c r="A63" s="5" t="s">
        <v>333</v>
      </c>
      <c r="B63" s="5" t="s">
        <v>320</v>
      </c>
      <c r="C63" s="5" t="s">
        <v>321</v>
      </c>
      <c r="D63" s="5" t="s">
        <v>322</v>
      </c>
      <c r="E63" s="5" t="s">
        <v>334</v>
      </c>
      <c r="F63" s="5" t="s">
        <v>101</v>
      </c>
      <c r="G63" s="5" t="s">
        <v>101</v>
      </c>
      <c r="H63" s="5" t="s">
        <v>101</v>
      </c>
      <c r="I63" s="5" t="s">
        <v>101</v>
      </c>
      <c r="J63" s="5" t="s">
        <v>335</v>
      </c>
      <c r="K63" s="5" t="s">
        <v>26</v>
      </c>
      <c r="L63" s="5" t="s">
        <v>103</v>
      </c>
      <c r="M63" s="5"/>
    </row>
    <row r="64" customFormat="false" ht="22.35" hidden="false" customHeight="false" outlineLevel="0" collapsed="false">
      <c r="A64" s="5" t="s">
        <v>336</v>
      </c>
      <c r="B64" s="5" t="s">
        <v>320</v>
      </c>
      <c r="C64" s="5" t="s">
        <v>321</v>
      </c>
      <c r="D64" s="5" t="s">
        <v>322</v>
      </c>
      <c r="E64" s="5" t="s">
        <v>337</v>
      </c>
      <c r="F64" s="5" t="s">
        <v>101</v>
      </c>
      <c r="G64" s="5" t="s">
        <v>101</v>
      </c>
      <c r="H64" s="5" t="s">
        <v>101</v>
      </c>
      <c r="I64" s="5" t="s">
        <v>101</v>
      </c>
      <c r="J64" s="5" t="s">
        <v>338</v>
      </c>
      <c r="K64" s="5" t="s">
        <v>26</v>
      </c>
      <c r="L64" s="5" t="s">
        <v>103</v>
      </c>
      <c r="M64" s="5"/>
    </row>
    <row r="65" customFormat="false" ht="22.35" hidden="false" customHeight="false" outlineLevel="0" collapsed="false">
      <c r="A65" s="5" t="s">
        <v>339</v>
      </c>
      <c r="B65" s="5" t="s">
        <v>320</v>
      </c>
      <c r="C65" s="5" t="s">
        <v>321</v>
      </c>
      <c r="D65" s="5" t="s">
        <v>322</v>
      </c>
      <c r="E65" s="5" t="s">
        <v>340</v>
      </c>
      <c r="F65" s="5" t="s">
        <v>21</v>
      </c>
      <c r="G65" s="5" t="s">
        <v>341</v>
      </c>
      <c r="H65" s="5" t="s">
        <v>342</v>
      </c>
      <c r="I65" s="5" t="s">
        <v>343</v>
      </c>
      <c r="J65" s="5" t="s">
        <v>344</v>
      </c>
      <c r="K65" s="5" t="s">
        <v>134</v>
      </c>
      <c r="L65" s="5" t="s">
        <v>34</v>
      </c>
      <c r="M65" s="5"/>
    </row>
    <row r="66" customFormat="false" ht="22.35" hidden="false" customHeight="false" outlineLevel="0" collapsed="false">
      <c r="A66" s="5" t="s">
        <v>345</v>
      </c>
      <c r="B66" s="5" t="s">
        <v>320</v>
      </c>
      <c r="C66" s="5" t="s">
        <v>321</v>
      </c>
      <c r="D66" s="5" t="s">
        <v>346</v>
      </c>
      <c r="E66" s="5" t="s">
        <v>347</v>
      </c>
      <c r="F66" s="5" t="s">
        <v>101</v>
      </c>
      <c r="G66" s="5" t="s">
        <v>101</v>
      </c>
      <c r="H66" s="5" t="s">
        <v>101</v>
      </c>
      <c r="I66" s="5" t="s">
        <v>101</v>
      </c>
      <c r="J66" s="5" t="s">
        <v>348</v>
      </c>
      <c r="K66" s="5" t="s">
        <v>26</v>
      </c>
      <c r="L66" s="5" t="s">
        <v>103</v>
      </c>
      <c r="M66" s="5"/>
    </row>
    <row r="67" customFormat="false" ht="22.35" hidden="false" customHeight="false" outlineLevel="0" collapsed="false">
      <c r="A67" s="5" t="s">
        <v>349</v>
      </c>
      <c r="B67" s="5" t="s">
        <v>320</v>
      </c>
      <c r="C67" s="5" t="s">
        <v>321</v>
      </c>
      <c r="D67" s="5" t="s">
        <v>346</v>
      </c>
      <c r="E67" s="5" t="s">
        <v>350</v>
      </c>
      <c r="F67" s="5" t="s">
        <v>101</v>
      </c>
      <c r="G67" s="5" t="s">
        <v>101</v>
      </c>
      <c r="H67" s="5" t="s">
        <v>101</v>
      </c>
      <c r="I67" s="5" t="s">
        <v>101</v>
      </c>
      <c r="J67" s="5" t="s">
        <v>351</v>
      </c>
      <c r="K67" s="5" t="s">
        <v>26</v>
      </c>
      <c r="L67" s="5" t="s">
        <v>103</v>
      </c>
      <c r="M67" s="5"/>
    </row>
    <row r="68" customFormat="false" ht="22.35" hidden="false" customHeight="false" outlineLevel="0" collapsed="false">
      <c r="A68" s="5" t="s">
        <v>352</v>
      </c>
      <c r="B68" s="5" t="s">
        <v>320</v>
      </c>
      <c r="C68" s="5" t="s">
        <v>321</v>
      </c>
      <c r="D68" s="5" t="s">
        <v>346</v>
      </c>
      <c r="E68" s="5" t="s">
        <v>353</v>
      </c>
      <c r="F68" s="5" t="s">
        <v>101</v>
      </c>
      <c r="G68" s="5" t="s">
        <v>101</v>
      </c>
      <c r="H68" s="5" t="s">
        <v>101</v>
      </c>
      <c r="I68" s="5" t="s">
        <v>101</v>
      </c>
      <c r="J68" s="5" t="s">
        <v>354</v>
      </c>
      <c r="K68" s="5" t="s">
        <v>26</v>
      </c>
      <c r="L68" s="5" t="s">
        <v>103</v>
      </c>
      <c r="M68" s="5"/>
    </row>
    <row r="69" customFormat="false" ht="22.35" hidden="false" customHeight="false" outlineLevel="0" collapsed="false">
      <c r="A69" s="5" t="s">
        <v>355</v>
      </c>
      <c r="B69" s="5" t="s">
        <v>320</v>
      </c>
      <c r="C69" s="5" t="s">
        <v>321</v>
      </c>
      <c r="D69" s="5" t="s">
        <v>322</v>
      </c>
      <c r="E69" s="5" t="s">
        <v>356</v>
      </c>
      <c r="F69" s="5" t="s">
        <v>21</v>
      </c>
      <c r="G69" s="5" t="s">
        <v>357</v>
      </c>
      <c r="H69" s="5" t="s">
        <v>358</v>
      </c>
      <c r="I69" s="5" t="s">
        <v>359</v>
      </c>
      <c r="J69" s="5" t="s">
        <v>220</v>
      </c>
      <c r="K69" s="5" t="s">
        <v>192</v>
      </c>
      <c r="L69" s="5" t="s">
        <v>34</v>
      </c>
      <c r="M69" s="5"/>
    </row>
    <row r="70" customFormat="false" ht="22.35" hidden="false" customHeight="false" outlineLevel="0" collapsed="false">
      <c r="A70" s="5" t="s">
        <v>360</v>
      </c>
      <c r="B70" s="5" t="s">
        <v>320</v>
      </c>
      <c r="C70" s="5" t="s">
        <v>321</v>
      </c>
      <c r="D70" s="5" t="s">
        <v>361</v>
      </c>
      <c r="E70" s="5" t="s">
        <v>362</v>
      </c>
      <c r="F70" s="5" t="s">
        <v>21</v>
      </c>
      <c r="G70" s="5" t="s">
        <v>363</v>
      </c>
      <c r="H70" s="5" t="s">
        <v>210</v>
      </c>
      <c r="I70" s="5" t="s">
        <v>364</v>
      </c>
      <c r="J70" s="5" t="s">
        <v>365</v>
      </c>
      <c r="K70" s="5" t="s">
        <v>26</v>
      </c>
      <c r="L70" s="5" t="s">
        <v>27</v>
      </c>
      <c r="M70" s="5"/>
    </row>
    <row r="71" customFormat="false" ht="22.35" hidden="false" customHeight="false" outlineLevel="0" collapsed="false">
      <c r="A71" s="5" t="s">
        <v>366</v>
      </c>
      <c r="B71" s="5" t="s">
        <v>320</v>
      </c>
      <c r="C71" s="5" t="s">
        <v>321</v>
      </c>
      <c r="D71" s="5" t="s">
        <v>361</v>
      </c>
      <c r="E71" s="5" t="s">
        <v>367</v>
      </c>
      <c r="F71" s="5" t="s">
        <v>101</v>
      </c>
      <c r="G71" s="5" t="s">
        <v>101</v>
      </c>
      <c r="H71" s="5" t="s">
        <v>101</v>
      </c>
      <c r="I71" s="5" t="s">
        <v>101</v>
      </c>
      <c r="J71" s="5" t="s">
        <v>368</v>
      </c>
      <c r="K71" s="5" t="s">
        <v>26</v>
      </c>
      <c r="L71" s="5" t="s">
        <v>103</v>
      </c>
      <c r="M71" s="5"/>
    </row>
    <row r="72" customFormat="false" ht="15" hidden="false" customHeight="false" outlineLevel="0" collapsed="false">
      <c r="A72" s="4" t="s">
        <v>369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customFormat="false" ht="22.35" hidden="false" customHeight="false" outlineLevel="0" collapsed="false">
      <c r="A73" s="5" t="s">
        <v>370</v>
      </c>
      <c r="B73" s="5" t="s">
        <v>371</v>
      </c>
      <c r="C73" s="5" t="s">
        <v>372</v>
      </c>
      <c r="D73" s="5" t="s">
        <v>373</v>
      </c>
      <c r="E73" s="5" t="s">
        <v>374</v>
      </c>
      <c r="F73" s="5" t="s">
        <v>101</v>
      </c>
      <c r="G73" s="5" t="s">
        <v>101</v>
      </c>
      <c r="H73" s="5" t="s">
        <v>101</v>
      </c>
      <c r="I73" s="5" t="s">
        <v>101</v>
      </c>
      <c r="J73" s="5" t="s">
        <v>375</v>
      </c>
      <c r="K73" s="5" t="s">
        <v>26</v>
      </c>
      <c r="L73" s="5" t="s">
        <v>103</v>
      </c>
      <c r="M73" s="5"/>
    </row>
    <row r="74" customFormat="false" ht="22.35" hidden="false" customHeight="false" outlineLevel="0" collapsed="false">
      <c r="A74" s="5" t="s">
        <v>376</v>
      </c>
      <c r="B74" s="5" t="s">
        <v>371</v>
      </c>
      <c r="C74" s="5" t="s">
        <v>372</v>
      </c>
      <c r="D74" s="5" t="s">
        <v>373</v>
      </c>
      <c r="E74" s="5" t="s">
        <v>377</v>
      </c>
      <c r="F74" s="5" t="s">
        <v>101</v>
      </c>
      <c r="G74" s="5" t="s">
        <v>101</v>
      </c>
      <c r="H74" s="5" t="s">
        <v>101</v>
      </c>
      <c r="I74" s="5" t="s">
        <v>101</v>
      </c>
      <c r="J74" s="5" t="s">
        <v>378</v>
      </c>
      <c r="K74" s="5" t="s">
        <v>26</v>
      </c>
      <c r="L74" s="5" t="s">
        <v>103</v>
      </c>
      <c r="M74" s="5"/>
    </row>
    <row r="75" customFormat="false" ht="22.35" hidden="false" customHeight="false" outlineLevel="0" collapsed="false">
      <c r="A75" s="5" t="s">
        <v>379</v>
      </c>
      <c r="B75" s="5" t="s">
        <v>371</v>
      </c>
      <c r="C75" s="5" t="s">
        <v>372</v>
      </c>
      <c r="D75" s="5" t="s">
        <v>373</v>
      </c>
      <c r="E75" s="5" t="s">
        <v>380</v>
      </c>
      <c r="F75" s="5" t="s">
        <v>101</v>
      </c>
      <c r="G75" s="5" t="s">
        <v>101</v>
      </c>
      <c r="H75" s="5" t="s">
        <v>101</v>
      </c>
      <c r="I75" s="5" t="s">
        <v>101</v>
      </c>
      <c r="J75" s="5" t="s">
        <v>381</v>
      </c>
      <c r="K75" s="5" t="s">
        <v>26</v>
      </c>
      <c r="L75" s="5" t="s">
        <v>103</v>
      </c>
      <c r="M75" s="5"/>
    </row>
    <row r="76" customFormat="false" ht="22.35" hidden="false" customHeight="false" outlineLevel="0" collapsed="false">
      <c r="A76" s="5" t="s">
        <v>382</v>
      </c>
      <c r="B76" s="5" t="s">
        <v>371</v>
      </c>
      <c r="C76" s="5" t="s">
        <v>372</v>
      </c>
      <c r="D76" s="5" t="s">
        <v>373</v>
      </c>
      <c r="E76" s="5" t="s">
        <v>383</v>
      </c>
      <c r="F76" s="5" t="s">
        <v>101</v>
      </c>
      <c r="G76" s="5" t="s">
        <v>101</v>
      </c>
      <c r="H76" s="5" t="s">
        <v>101</v>
      </c>
      <c r="I76" s="5" t="s">
        <v>101</v>
      </c>
      <c r="J76" s="5" t="s">
        <v>384</v>
      </c>
      <c r="K76" s="5" t="s">
        <v>26</v>
      </c>
      <c r="L76" s="5" t="s">
        <v>103</v>
      </c>
      <c r="M76" s="5"/>
    </row>
    <row r="77" customFormat="false" ht="22.35" hidden="false" customHeight="false" outlineLevel="0" collapsed="false">
      <c r="A77" s="5" t="s">
        <v>385</v>
      </c>
      <c r="B77" s="5" t="s">
        <v>371</v>
      </c>
      <c r="C77" s="5" t="s">
        <v>372</v>
      </c>
      <c r="D77" s="5" t="s">
        <v>386</v>
      </c>
      <c r="E77" s="5" t="s">
        <v>387</v>
      </c>
      <c r="F77" s="5" t="s">
        <v>21</v>
      </c>
      <c r="G77" s="5" t="s">
        <v>388</v>
      </c>
      <c r="H77" s="5" t="s">
        <v>389</v>
      </c>
      <c r="I77" s="5" t="s">
        <v>390</v>
      </c>
      <c r="J77" s="5" t="s">
        <v>238</v>
      </c>
      <c r="K77" s="5" t="s">
        <v>26</v>
      </c>
      <c r="L77" s="5" t="s">
        <v>27</v>
      </c>
      <c r="M77" s="5"/>
    </row>
    <row r="78" customFormat="false" ht="22.35" hidden="false" customHeight="false" outlineLevel="0" collapsed="false">
      <c r="A78" s="5" t="s">
        <v>391</v>
      </c>
      <c r="B78" s="5" t="s">
        <v>371</v>
      </c>
      <c r="C78" s="5" t="s">
        <v>372</v>
      </c>
      <c r="D78" s="5" t="s">
        <v>386</v>
      </c>
      <c r="E78" s="5" t="s">
        <v>392</v>
      </c>
      <c r="F78" s="5" t="s">
        <v>101</v>
      </c>
      <c r="G78" s="5" t="s">
        <v>101</v>
      </c>
      <c r="H78" s="5" t="s">
        <v>101</v>
      </c>
      <c r="I78" s="5" t="s">
        <v>101</v>
      </c>
      <c r="J78" s="5" t="s">
        <v>393</v>
      </c>
      <c r="K78" s="5" t="s">
        <v>26</v>
      </c>
      <c r="L78" s="5" t="s">
        <v>103</v>
      </c>
      <c r="M78" s="5"/>
    </row>
    <row r="79" customFormat="false" ht="22.35" hidden="false" customHeight="false" outlineLevel="0" collapsed="false">
      <c r="A79" s="5" t="s">
        <v>394</v>
      </c>
      <c r="B79" s="5" t="s">
        <v>371</v>
      </c>
      <c r="C79" s="5" t="s">
        <v>372</v>
      </c>
      <c r="D79" s="5" t="s">
        <v>386</v>
      </c>
      <c r="E79" s="5" t="s">
        <v>395</v>
      </c>
      <c r="F79" s="5" t="s">
        <v>101</v>
      </c>
      <c r="G79" s="5" t="s">
        <v>101</v>
      </c>
      <c r="H79" s="5" t="s">
        <v>101</v>
      </c>
      <c r="I79" s="5" t="s">
        <v>101</v>
      </c>
      <c r="J79" s="5" t="s">
        <v>396</v>
      </c>
      <c r="K79" s="5" t="s">
        <v>26</v>
      </c>
      <c r="L79" s="5" t="s">
        <v>103</v>
      </c>
      <c r="M79" s="5"/>
    </row>
    <row r="80" customFormat="false" ht="22.35" hidden="false" customHeight="false" outlineLevel="0" collapsed="false">
      <c r="A80" s="5" t="s">
        <v>397</v>
      </c>
      <c r="B80" s="5" t="s">
        <v>371</v>
      </c>
      <c r="C80" s="5" t="s">
        <v>372</v>
      </c>
      <c r="D80" s="5" t="s">
        <v>373</v>
      </c>
      <c r="E80" s="5" t="s">
        <v>398</v>
      </c>
      <c r="F80" s="5" t="s">
        <v>21</v>
      </c>
      <c r="G80" s="5" t="s">
        <v>399</v>
      </c>
      <c r="H80" s="5" t="s">
        <v>400</v>
      </c>
      <c r="I80" s="5" t="s">
        <v>401</v>
      </c>
      <c r="J80" s="5" t="s">
        <v>402</v>
      </c>
      <c r="K80" s="5" t="s">
        <v>192</v>
      </c>
      <c r="L80" s="5" t="s">
        <v>34</v>
      </c>
      <c r="M80" s="5"/>
    </row>
  </sheetData>
  <autoFilter ref="A4:M80"/>
  <mergeCells count="8">
    <mergeCell ref="A5:M5"/>
    <mergeCell ref="A16:M16"/>
    <mergeCell ref="A25:M25"/>
    <mergeCell ref="A35:M35"/>
    <mergeCell ref="A44:M44"/>
    <mergeCell ref="A54:M54"/>
    <mergeCell ref="A60:M60"/>
    <mergeCell ref="A72:M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5" min="4" style="0" width="24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" t="s">
        <v>403</v>
      </c>
    </row>
    <row r="2" customFormat="false" ht="15" hidden="false" customHeight="false" outlineLevel="0" collapsed="false">
      <c r="A2" s="2" t="s">
        <v>404</v>
      </c>
    </row>
    <row r="4" customFormat="false" ht="23.85" hidden="false" customHeight="false" outlineLevel="0" collapsed="false">
      <c r="A4" s="3" t="s">
        <v>3</v>
      </c>
      <c r="B4" s="3" t="s">
        <v>4</v>
      </c>
      <c r="C4" s="3" t="s">
        <v>405</v>
      </c>
      <c r="D4" s="3" t="s">
        <v>27</v>
      </c>
      <c r="E4" s="3" t="s">
        <v>34</v>
      </c>
      <c r="F4" s="3" t="s">
        <v>103</v>
      </c>
    </row>
    <row r="5" customFormat="false" ht="15" hidden="false" customHeight="false" outlineLevel="0" collapsed="false">
      <c r="A5" s="5" t="s">
        <v>17</v>
      </c>
      <c r="B5" s="5" t="s">
        <v>18</v>
      </c>
      <c r="C5" s="5" t="n">
        <f aca="false">COUNTIF('Inventario APIs'!$B$5:$B$80,A5)</f>
        <v>10</v>
      </c>
      <c r="D5" s="5" t="n">
        <f aca="false">COUNTIFS('Inventario APIs'!$B$5:$B$80,$A5,'Inventario APIs'!$L$5:$L$80,D$4)</f>
        <v>4</v>
      </c>
      <c r="E5" s="5" t="n">
        <f aca="false">COUNTIFS('Inventario APIs'!$B$5:$B$80,$A5,'Inventario APIs'!$L$5:$L$80,E$4)</f>
        <v>6</v>
      </c>
      <c r="F5" s="5" t="n">
        <f aca="false">COUNTIFS('Inventario APIs'!$B$5:$B$80,$A5,'Inventario APIs'!$L$5:$L$80,F$4)</f>
        <v>0</v>
      </c>
    </row>
    <row r="6" customFormat="false" ht="15" hidden="false" customHeight="false" outlineLevel="0" collapsed="false">
      <c r="A6" s="5" t="s">
        <v>91</v>
      </c>
      <c r="B6" s="5" t="s">
        <v>92</v>
      </c>
      <c r="C6" s="5" t="n">
        <f aca="false">COUNTIF('Inventario APIs'!$B$5:$B$80,A6)</f>
        <v>8</v>
      </c>
      <c r="D6" s="5" t="n">
        <f aca="false">COUNTIFS('Inventario APIs'!$B$5:$B$80,$A6,'Inventario APIs'!$L$5:$L$80,D$4)</f>
        <v>2</v>
      </c>
      <c r="E6" s="5" t="n">
        <f aca="false">COUNTIFS('Inventario APIs'!$B$5:$B$80,$A6,'Inventario APIs'!$L$5:$L$80,E$4)</f>
        <v>2</v>
      </c>
      <c r="F6" s="5" t="n">
        <f aca="false">COUNTIFS('Inventario APIs'!$B$5:$B$80,$A6,'Inventario APIs'!$L$5:$L$80,F$4)</f>
        <v>4</v>
      </c>
    </row>
    <row r="7" customFormat="false" ht="15" hidden="false" customHeight="false" outlineLevel="0" collapsed="false">
      <c r="A7" s="5" t="s">
        <v>137</v>
      </c>
      <c r="B7" s="5" t="s">
        <v>138</v>
      </c>
      <c r="C7" s="5" t="n">
        <f aca="false">COUNTIF('Inventario APIs'!$B$5:$B$80,A7)</f>
        <v>9</v>
      </c>
      <c r="D7" s="5" t="n">
        <f aca="false">COUNTIFS('Inventario APIs'!$B$5:$B$80,$A7,'Inventario APIs'!$L$5:$L$80,D$4)</f>
        <v>6</v>
      </c>
      <c r="E7" s="5" t="n">
        <f aca="false">COUNTIFS('Inventario APIs'!$B$5:$B$80,$A7,'Inventario APIs'!$L$5:$L$80,E$4)</f>
        <v>2</v>
      </c>
      <c r="F7" s="5" t="n">
        <f aca="false">COUNTIFS('Inventario APIs'!$B$5:$B$80,$A7,'Inventario APIs'!$L$5:$L$80,F$4)</f>
        <v>1</v>
      </c>
    </row>
    <row r="8" customFormat="false" ht="15" hidden="false" customHeight="false" outlineLevel="0" collapsed="false">
      <c r="A8" s="5" t="s">
        <v>195</v>
      </c>
      <c r="B8" s="5" t="s">
        <v>196</v>
      </c>
      <c r="C8" s="5" t="n">
        <f aca="false">COUNTIF('Inventario APIs'!$B$5:$B$80,A8)</f>
        <v>8</v>
      </c>
      <c r="D8" s="5" t="n">
        <f aca="false">COUNTIFS('Inventario APIs'!$B$5:$B$80,$A8,'Inventario APIs'!$L$5:$L$80,D$4)</f>
        <v>1</v>
      </c>
      <c r="E8" s="5" t="n">
        <f aca="false">COUNTIFS('Inventario APIs'!$B$5:$B$80,$A8,'Inventario APIs'!$L$5:$L$80,E$4)</f>
        <v>7</v>
      </c>
      <c r="F8" s="5" t="n">
        <f aca="false">COUNTIFS('Inventario APIs'!$B$5:$B$80,$A8,'Inventario APIs'!$L$5:$L$80,F$4)</f>
        <v>0</v>
      </c>
    </row>
    <row r="9" customFormat="false" ht="15" hidden="false" customHeight="false" outlineLevel="0" collapsed="false">
      <c r="A9" s="5" t="s">
        <v>248</v>
      </c>
      <c r="B9" s="5" t="s">
        <v>249</v>
      </c>
      <c r="C9" s="5" t="n">
        <f aca="false">COUNTIF('Inventario APIs'!$B$5:$B$80,A9)</f>
        <v>9</v>
      </c>
      <c r="D9" s="5" t="n">
        <f aca="false">COUNTIFS('Inventario APIs'!$B$5:$B$80,$A9,'Inventario APIs'!$L$5:$L$80,D$4)</f>
        <v>4</v>
      </c>
      <c r="E9" s="5" t="n">
        <f aca="false">COUNTIFS('Inventario APIs'!$B$5:$B$80,$A9,'Inventario APIs'!$L$5:$L$80,E$4)</f>
        <v>2</v>
      </c>
      <c r="F9" s="5" t="n">
        <f aca="false">COUNTIFS('Inventario APIs'!$B$5:$B$80,$A9,'Inventario APIs'!$L$5:$L$80,F$4)</f>
        <v>3</v>
      </c>
    </row>
    <row r="10" customFormat="false" ht="15" hidden="false" customHeight="false" outlineLevel="0" collapsed="false">
      <c r="A10" s="5" t="s">
        <v>299</v>
      </c>
      <c r="B10" s="5" t="s">
        <v>300</v>
      </c>
      <c r="C10" s="5" t="n">
        <f aca="false">COUNTIF('Inventario APIs'!$B$5:$B$80,A10)</f>
        <v>5</v>
      </c>
      <c r="D10" s="5" t="n">
        <f aca="false">COUNTIFS('Inventario APIs'!$B$5:$B$80,$A10,'Inventario APIs'!$L$5:$L$80,D$4)</f>
        <v>1</v>
      </c>
      <c r="E10" s="5" t="n">
        <f aca="false">COUNTIFS('Inventario APIs'!$B$5:$B$80,$A10,'Inventario APIs'!$L$5:$L$80,E$4)</f>
        <v>0</v>
      </c>
      <c r="F10" s="5" t="n">
        <f aca="false">COUNTIFS('Inventario APIs'!$B$5:$B$80,$A10,'Inventario APIs'!$L$5:$L$80,F$4)</f>
        <v>4</v>
      </c>
    </row>
    <row r="11" customFormat="false" ht="15" hidden="false" customHeight="false" outlineLevel="0" collapsed="false">
      <c r="A11" s="5" t="s">
        <v>320</v>
      </c>
      <c r="B11" s="5" t="s">
        <v>321</v>
      </c>
      <c r="C11" s="5" t="n">
        <f aca="false">COUNTIF('Inventario APIs'!$B$5:$B$80,A11)</f>
        <v>11</v>
      </c>
      <c r="D11" s="5" t="n">
        <f aca="false">COUNTIFS('Inventario APIs'!$B$5:$B$80,$A11,'Inventario APIs'!$L$5:$L$80,D$4)</f>
        <v>3</v>
      </c>
      <c r="E11" s="5" t="n">
        <f aca="false">COUNTIFS('Inventario APIs'!$B$5:$B$80,$A11,'Inventario APIs'!$L$5:$L$80,E$4)</f>
        <v>2</v>
      </c>
      <c r="F11" s="5" t="n">
        <f aca="false">COUNTIFS('Inventario APIs'!$B$5:$B$80,$A11,'Inventario APIs'!$L$5:$L$80,F$4)</f>
        <v>6</v>
      </c>
    </row>
    <row r="12" customFormat="false" ht="15" hidden="false" customHeight="false" outlineLevel="0" collapsed="false">
      <c r="A12" s="5" t="s">
        <v>371</v>
      </c>
      <c r="B12" s="5" t="s">
        <v>372</v>
      </c>
      <c r="C12" s="5" t="n">
        <f aca="false">COUNTIF('Inventario APIs'!$B$5:$B$80,A12)</f>
        <v>8</v>
      </c>
      <c r="D12" s="5" t="n">
        <f aca="false">COUNTIFS('Inventario APIs'!$B$5:$B$80,$A12,'Inventario APIs'!$L$5:$L$80,D$4)</f>
        <v>1</v>
      </c>
      <c r="E12" s="5" t="n">
        <f aca="false">COUNTIFS('Inventario APIs'!$B$5:$B$80,$A12,'Inventario APIs'!$L$5:$L$80,E$4)</f>
        <v>1</v>
      </c>
      <c r="F12" s="5" t="n">
        <f aca="false">COUNTIFS('Inventario APIs'!$B$5:$B$80,$A12,'Inventario APIs'!$L$5:$L$80,F$4)</f>
        <v>6</v>
      </c>
    </row>
    <row r="13" customFormat="false" ht="15" hidden="false" customHeight="false" outlineLevel="0" collapsed="false">
      <c r="A13" s="6" t="s">
        <v>406</v>
      </c>
      <c r="C13" s="7" t="n">
        <f aca="false">SUM(C5:C12)</f>
        <v>68</v>
      </c>
      <c r="D13" s="7" t="n">
        <f aca="false">SUM(D5:D12)</f>
        <v>22</v>
      </c>
      <c r="E13" s="7" t="n">
        <f aca="false">SUM(E5:E12)</f>
        <v>22</v>
      </c>
      <c r="F13" s="7" t="n">
        <f aca="false">SUM(F5:F12)</f>
        <v>24</v>
      </c>
    </row>
    <row r="15" customFormat="false" ht="15" hidden="false" customHeight="false" outlineLevel="0" collapsed="false">
      <c r="A15" s="8" t="s"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44"/>
  </cols>
  <sheetData>
    <row r="1" customFormat="false" ht="16.15" hidden="false" customHeight="false" outlineLevel="0" collapsed="false">
      <c r="A1" s="1" t="s">
        <v>408</v>
      </c>
    </row>
    <row r="2" customFormat="false" ht="15" hidden="false" customHeight="false" outlineLevel="0" collapsed="false">
      <c r="A2" s="2" t="s">
        <v>409</v>
      </c>
    </row>
    <row r="4" customFormat="false" ht="23.85" hidden="false" customHeight="false" outlineLevel="0" collapsed="false">
      <c r="A4" s="3" t="s">
        <v>410</v>
      </c>
      <c r="B4" s="3" t="s">
        <v>411</v>
      </c>
      <c r="C4" s="3" t="s">
        <v>412</v>
      </c>
      <c r="D4" s="3" t="s">
        <v>413</v>
      </c>
      <c r="E4" s="3" t="s">
        <v>414</v>
      </c>
      <c r="F4" s="3" t="s">
        <v>11</v>
      </c>
      <c r="G4" s="3" t="s">
        <v>13</v>
      </c>
      <c r="H4" s="3" t="s">
        <v>14</v>
      </c>
    </row>
    <row r="5" customFormat="false" ht="22.35" hidden="false" customHeight="false" outlineLevel="0" collapsed="false">
      <c r="A5" s="5" t="s">
        <v>415</v>
      </c>
      <c r="B5" s="5" t="s">
        <v>416</v>
      </c>
      <c r="C5" s="5" t="s">
        <v>417</v>
      </c>
      <c r="D5" s="5" t="s">
        <v>418</v>
      </c>
      <c r="E5" s="5" t="s">
        <v>419</v>
      </c>
      <c r="F5" s="5" t="s">
        <v>65</v>
      </c>
      <c r="G5" s="5" t="s">
        <v>420</v>
      </c>
      <c r="H5" s="5"/>
    </row>
    <row r="6" customFormat="false" ht="22.35" hidden="false" customHeight="false" outlineLevel="0" collapsed="false">
      <c r="A6" s="5" t="s">
        <v>421</v>
      </c>
      <c r="B6" s="5" t="s">
        <v>422</v>
      </c>
      <c r="C6" s="5" t="s">
        <v>423</v>
      </c>
      <c r="D6" s="5" t="s">
        <v>424</v>
      </c>
      <c r="E6" s="5" t="s">
        <v>425</v>
      </c>
      <c r="F6" s="5" t="s">
        <v>365</v>
      </c>
      <c r="G6" s="5" t="s">
        <v>420</v>
      </c>
      <c r="H6" s="5" t="s">
        <v>426</v>
      </c>
    </row>
    <row r="7" customFormat="false" ht="22.35" hidden="false" customHeight="false" outlineLevel="0" collapsed="false">
      <c r="A7" s="5" t="s">
        <v>427</v>
      </c>
      <c r="B7" s="5" t="s">
        <v>428</v>
      </c>
      <c r="C7" s="5" t="s">
        <v>429</v>
      </c>
      <c r="D7" s="5" t="s">
        <v>430</v>
      </c>
      <c r="E7" s="5" t="s">
        <v>431</v>
      </c>
      <c r="F7" s="5" t="s">
        <v>150</v>
      </c>
      <c r="G7" s="5" t="s">
        <v>420</v>
      </c>
      <c r="H7" s="5" t="s">
        <v>432</v>
      </c>
    </row>
    <row r="8" customFormat="false" ht="22.35" hidden="false" customHeight="false" outlineLevel="0" collapsed="false">
      <c r="A8" s="5" t="s">
        <v>433</v>
      </c>
      <c r="B8" s="5" t="s">
        <v>434</v>
      </c>
      <c r="C8" s="5" t="s">
        <v>435</v>
      </c>
      <c r="D8" s="5" t="s">
        <v>436</v>
      </c>
      <c r="E8" s="5" t="s">
        <v>437</v>
      </c>
      <c r="F8" s="5" t="s">
        <v>438</v>
      </c>
      <c r="G8" s="5" t="s">
        <v>420</v>
      </c>
      <c r="H8" s="5"/>
    </row>
    <row r="9" customFormat="false" ht="22.35" hidden="false" customHeight="false" outlineLevel="0" collapsed="false">
      <c r="A9" s="5" t="s">
        <v>439</v>
      </c>
      <c r="B9" s="5" t="s">
        <v>440</v>
      </c>
      <c r="C9" s="5" t="s">
        <v>441</v>
      </c>
      <c r="D9" s="5" t="s">
        <v>442</v>
      </c>
      <c r="E9" s="5" t="s">
        <v>443</v>
      </c>
      <c r="F9" s="5" t="s">
        <v>393</v>
      </c>
      <c r="G9" s="5" t="s">
        <v>420</v>
      </c>
      <c r="H9" s="5"/>
    </row>
    <row r="10" customFormat="false" ht="32.8" hidden="false" customHeight="false" outlineLevel="0" collapsed="false">
      <c r="A10" s="5" t="s">
        <v>444</v>
      </c>
      <c r="B10" s="5" t="s">
        <v>445</v>
      </c>
      <c r="C10" s="5" t="s">
        <v>446</v>
      </c>
      <c r="D10" s="5" t="s">
        <v>447</v>
      </c>
      <c r="E10" s="5" t="s">
        <v>448</v>
      </c>
      <c r="F10" s="5" t="s">
        <v>449</v>
      </c>
      <c r="G10" s="5" t="s">
        <v>420</v>
      </c>
      <c r="H10" s="5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" t="s">
        <v>451</v>
      </c>
    </row>
    <row r="2" customFormat="false" ht="15" hidden="false" customHeight="false" outlineLevel="0" collapsed="false">
      <c r="A2" s="2" t="s">
        <v>452</v>
      </c>
    </row>
    <row r="4" customFormat="false" ht="15" hidden="false" customHeight="false" outlineLevel="0" collapsed="false">
      <c r="A4" s="3" t="s">
        <v>453</v>
      </c>
      <c r="B4" s="3" t="s">
        <v>454</v>
      </c>
    </row>
    <row r="5" customFormat="false" ht="15" hidden="false" customHeight="false" outlineLevel="0" collapsed="false">
      <c r="A5" s="5" t="s">
        <v>455</v>
      </c>
      <c r="B5" s="5" t="s">
        <v>456</v>
      </c>
    </row>
    <row r="6" customFormat="false" ht="15" hidden="false" customHeight="false" outlineLevel="0" collapsed="false">
      <c r="A6" s="5" t="s">
        <v>457</v>
      </c>
      <c r="B6" s="5" t="s">
        <v>458</v>
      </c>
    </row>
    <row r="7" customFormat="false" ht="15" hidden="false" customHeight="false" outlineLevel="0" collapsed="false">
      <c r="A7" s="5" t="s">
        <v>459</v>
      </c>
      <c r="B7" s="5" t="s">
        <v>460</v>
      </c>
    </row>
    <row r="8" customFormat="false" ht="15" hidden="false" customHeight="false" outlineLevel="0" collapsed="false">
      <c r="A8" s="5" t="s">
        <v>461</v>
      </c>
      <c r="B8" s="5" t="s">
        <v>462</v>
      </c>
    </row>
    <row r="9" customFormat="false" ht="22.35" hidden="false" customHeight="false" outlineLevel="0" collapsed="false">
      <c r="A9" s="5" t="s">
        <v>463</v>
      </c>
      <c r="B9" s="5" t="s">
        <v>464</v>
      </c>
    </row>
    <row r="10" customFormat="false" ht="15" hidden="false" customHeight="false" outlineLevel="0" collapsed="false">
      <c r="A10" s="5" t="s">
        <v>465</v>
      </c>
      <c r="B10" s="5" t="s">
        <v>466</v>
      </c>
    </row>
    <row r="11" customFormat="false" ht="22.35" hidden="false" customHeight="false" outlineLevel="0" collapsed="false">
      <c r="A11" s="5" t="s">
        <v>467</v>
      </c>
      <c r="B11" s="5" t="s">
        <v>468</v>
      </c>
    </row>
    <row r="12" customFormat="false" ht="22.35" hidden="false" customHeight="false" outlineLevel="0" collapsed="false">
      <c r="A12" s="5" t="s">
        <v>469</v>
      </c>
      <c r="B12" s="5" t="s">
        <v>470</v>
      </c>
    </row>
    <row r="13" customFormat="false" ht="15" hidden="false" customHeight="false" outlineLevel="0" collapsed="false">
      <c r="A13" s="5" t="s">
        <v>471</v>
      </c>
      <c r="B13" s="5" t="s">
        <v>472</v>
      </c>
    </row>
    <row r="14" customFormat="false" ht="15" hidden="false" customHeight="false" outlineLevel="0" collapsed="false">
      <c r="A14" s="5" t="s">
        <v>473</v>
      </c>
      <c r="B14" s="5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2026-10-23T20:30:15Z</dcterms:created>
  <dc:creator>openpyxl</dc:creator>
  <dc:description/>
  <dc:language>en-US</dc:language>
  <cp:lastModifiedBy/>
  <dcterms:modified xsi:type="dcterms:W3CDTF">2026-10-23T20:30:15Z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